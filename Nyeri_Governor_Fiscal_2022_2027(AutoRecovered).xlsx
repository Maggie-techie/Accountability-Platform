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GGIE\Downloads\"/>
    </mc:Choice>
  </mc:AlternateContent>
  <xr:revisionPtr revIDLastSave="0" documentId="8_{83244366-EC52-499F-B7F7-DF9D690ED071}" xr6:coauthVersionLast="47" xr6:coauthVersionMax="47" xr10:uidLastSave="{00000000-0000-0000-0000-000000000000}"/>
  <bookViews>
    <workbookView xWindow="-110" yWindow="-110" windowWidth="19420" windowHeight="10300" tabRatio="500" xr2:uid="{00000000-000D-0000-FFFF-FFFF00000000}"/>
  </bookViews>
  <sheets>
    <sheet name="Governor &amp; County Overview" sheetId="1" r:id="rId1"/>
    <sheet name="OAG Audit Findings" sheetId="2" r:id="rId2"/>
    <sheet name="Dept Spending Tracker" sheetId="3" r:id="rId3"/>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3" l="1"/>
  <c r="C16" i="3"/>
  <c r="F16" i="3" s="1"/>
  <c r="B16" i="3"/>
  <c r="E16" i="3" s="1"/>
  <c r="F15" i="3"/>
  <c r="D15" i="3"/>
  <c r="F14" i="3"/>
  <c r="E14" i="3"/>
  <c r="D14" i="3"/>
  <c r="F13" i="3"/>
  <c r="E13" i="3"/>
  <c r="D13" i="3"/>
  <c r="F12" i="3"/>
  <c r="E12" i="3"/>
  <c r="D12" i="3"/>
  <c r="F11" i="3"/>
  <c r="E11" i="3"/>
  <c r="D11" i="3"/>
  <c r="F10" i="3"/>
  <c r="E10" i="3"/>
  <c r="D10" i="3"/>
  <c r="F9" i="3"/>
  <c r="E9" i="3"/>
  <c r="D9" i="3"/>
  <c r="F8" i="3"/>
  <c r="E8" i="3"/>
  <c r="D8" i="3"/>
  <c r="F7" i="3"/>
  <c r="E7" i="3"/>
  <c r="D7" i="3"/>
  <c r="F6" i="3"/>
  <c r="E6" i="3"/>
  <c r="D6" i="3"/>
  <c r="F5" i="3"/>
  <c r="E5" i="3"/>
  <c r="D5" i="3"/>
  <c r="F4" i="3"/>
  <c r="E4" i="3"/>
  <c r="D4" i="3"/>
  <c r="G8" i="1"/>
  <c r="G7" i="1"/>
  <c r="G6" i="1"/>
  <c r="G5" i="1"/>
  <c r="G4" i="1"/>
  <c r="D16" i="3" l="1"/>
</calcChain>
</file>

<file path=xl/sharedStrings.xml><?xml version="1.0" encoding="utf-8"?>
<sst xmlns="http://schemas.openxmlformats.org/spreadsheetml/2006/main" count="263" uniqueCount="150">
  <si>
    <t>NYERI COUNTY GOVERNMENT – FISCAL OVERVIEW  |  Governor H.E. Dr. Mutahi Kahiga (UDA)  |  2022–2027 Tenure</t>
  </si>
  <si>
    <t>Sources: Nyeri County CFSP 2023 &amp; 2025, KNA, OAG Reports, Controller of Budget, Senate CPAC Proceedings  |  Amounts in KSh Billions</t>
  </si>
  <si>
    <t>Revenue Source</t>
  </si>
  <si>
    <t>Description</t>
  </si>
  <si>
    <t>FY 2022/23
(KSh B)</t>
  </si>
  <si>
    <t>FY 2023/24
(KSh B)</t>
  </si>
  <si>
    <t>FY 2024/25
(KSh B)</t>
  </si>
  <si>
    <t>FY 2025/26
(Projected KSh B)</t>
  </si>
  <si>
    <t>4-Year Total
(KSh B)</t>
  </si>
  <si>
    <t>Notes</t>
  </si>
  <si>
    <t>Equitable Share</t>
  </si>
  <si>
    <t>National allocation per CRA formula (population, poverty, land area)</t>
  </si>
  <si>
    <t>Conditional Grants</t>
  </si>
  <si>
    <t>Targeted national grants (health, roads, Level 5 hospital, KUSP, climate)</t>
  </si>
  <si>
    <t>Includes World Bank Kenya Devolution Support Program rewards</t>
  </si>
  <si>
    <t>Own Source Revenue
(Local)</t>
  </si>
  <si>
    <t>Markets, land rates, permits, SBP, parking fees</t>
  </si>
  <si>
    <t>FY2022/23 target was Ksh 0.8B; actual 0.61B – underperformance of 24%</t>
  </si>
  <si>
    <t>Nyeri Health Services Fund</t>
  </si>
  <si>
    <t>Health facility user fees &amp; NHIF reimbursements</t>
  </si>
  <si>
    <t>FY2023/24 marked 30% OSR growth vs prior year</t>
  </si>
  <si>
    <t>TOTAL COUNTY BUDGET</t>
  </si>
  <si>
    <t>Approved annual budget envelope</t>
  </si>
  <si>
    <t>FY2024/25: Ksh 8.7B tabled by CEC Finance Robert Thuo</t>
  </si>
  <si>
    <t>Department</t>
  </si>
  <si>
    <t>Health Services</t>
  </si>
  <si>
    <t>Education, Training &amp; Devolution</t>
  </si>
  <si>
    <t>Finance, Economic Planning &amp; ICT</t>
  </si>
  <si>
    <t>Agriculture, Livestock &amp; Aquaculture</t>
  </si>
  <si>
    <t>Environment &amp; Energy</t>
  </si>
  <si>
    <t>NYERI COUNTY GOVERNMENT – AUDITOR GENERAL FINDINGS  |  Current Tenure (FY2021/22 – FY2023/24)</t>
  </si>
  <si>
    <t>Sources: OAG County Executives Report 2021/22; Senate CPAC Proceedings Feb 2023 &amp; Dec 2024; Daily Nation; Kenya News Agency</t>
  </si>
  <si>
    <t>Category</t>
  </si>
  <si>
    <t>FY Audited</t>
  </si>
  <si>
    <t>Amount
Flagged
(KSh M)</t>
  </si>
  <si>
    <t>OAG Status /
Severity</t>
  </si>
  <si>
    <t>MISAPPROPRIATION / ADVERSE FINDING</t>
  </si>
  <si>
    <t>CORRECT APPROPRIATION / COMMENDATION</t>
  </si>
  <si>
    <t>Own Source Revenue
Variance</t>
  </si>
  <si>
    <t>FY2019/20
(CPAC Feb 2023)</t>
  </si>
  <si>
    <t>—</t>
  </si>
  <si>
    <t>Qualified / Medium</t>
  </si>
  <si>
    <t>OAG flagged a Ksh 8.23M unreconciled variance between county-reported own source revenue of Ksh 656M and actual collections traceable through systems. Governor appeared before Senate CPAC to defend the figures.
Governor's explanation: difference due to revenue banked in FY2018/19 but receipted in FY2019/20. Senators challenged this as inadequate.</t>
  </si>
  <si>
    <t>Governor Kahiga was the first county boss to appear before CPAC in the 13th Parliament — a transparency positive signal. County improved OSR collection in subsequent years: FY2023/24 grew 30% over FY2022/23.</t>
  </si>
  <si>
    <t>Fuel Expenditure
– Unsupported</t>
  </si>
  <si>
    <t>FY2021/22
(CPAC Dec 2024)</t>
  </si>
  <si>
    <t>Adverse / High</t>
  </si>
  <si>
    <t>Ksh 9.86M paid to fuel suppliers — including Ksh 6.89M to Mountainside Petrol Station — without work tickets, fuel registers or local purchase orders. OAG concluded fuel consumption could not be traced to any supporting documents.
Governor admitted negligence before Senate committee: 'We stand guilty as charged.'
EACC summoned senior county officials for investigation. Senate committee recommended prosecution of culpable officers.</t>
  </si>
  <si>
    <t>Governor took personal accountability publicly — relatively rare among county executives. County committed to sensitising accounting officers on fuel documentation protocols going forward.</t>
  </si>
  <si>
    <t>Streetlight Procurement
– Sustainability Risk</t>
  </si>
  <si>
    <t>FY2023/24</t>
  </si>
  <si>
    <t>OAG flagged procurement of Ksh 104M worth of grid-powered (KPLC) streetlights despite county already spending Ksh 76.7M on electricity bills in the same FY. AG warned this creates unsustainable recurring costs that could lead to disconnections and diversion of funds from health and infrastructure.
No solar alternative analysis was presented during procurement.</t>
  </si>
  <si>
    <t>Streetlight project was part of governor's urban beautification agenda. Karatina, Othaya and Nyeri Town benefited. CEC Finance acknowledged the sustainability concern and signalled intent to migrate to solar in subsequent budgets.</t>
  </si>
  <si>
    <t>Health Department
– Development Absorption</t>
  </si>
  <si>
    <t>FY2024/25
Q3 Report</t>
  </si>
  <si>
    <t>By Q3 FY2024/25, health department had absorbed only 68.71% of its Ksh 3B+ budget (Ksh 2.09B recurrent + development combined). Development spending notably lagged — Ksh 119.4M of Ksh 416.3M development budget spent. Risk of rollover and pending bills.</t>
  </si>
  <si>
    <t>Recurrent health spending (staff, drugs) remained on track. Wamagana Level IV Hospital (Tetu) commenced with Ksh 40M allocated. Naromoru Level 4 Hospital (Kieni East) was completed in a prior term — flagged as flagship delivery under governor's tenure.</t>
  </si>
  <si>
    <t>Energy Directorate
– Sports Dept Absorption</t>
  </si>
  <si>
    <t>Qualified / Low</t>
  </si>
  <si>
    <t>Sports &amp; Culture department absorbed only 37.82% of its Ksh 195.4M total budget by Q3. Slow project commencement flagged by County Treasury in Q3 report.</t>
  </si>
  <si>
    <t>Governor's office issued directive to departments to fast-track project commencement. County Public Service Management absorption was 48.85% — moderate performance.</t>
  </si>
  <si>
    <t>Inherited Defunct
Council Debt</t>
  </si>
  <si>
    <t>Legacy</t>
  </si>
  <si>
    <t>Ongoing Liability</t>
  </si>
  <si>
    <t>Nyeri inherited Ksh 592M in debt from defunct local authorities (Nyeri Municipal Council, Town Councils etc). As of 2022, this remains on the county's books as a long-term liability and constrains development budget flexibility.</t>
  </si>
  <si>
    <t>County reported zero NEW pending bills accrued in FY2020/21 — one of few counties to achieve this. Cited as evidence of prudent expenditure control. County was also ranked #1 nationally by the World Bank Kenya Devolution Support Program in 2020, awarded Ksh 184M bonus for financial management excellence.</t>
  </si>
  <si>
    <t>Own Source Revenue
– Consistent Shortfall</t>
  </si>
  <si>
    <t>FY2022/23 –
FY2024/25</t>
  </si>
  <si>
    <t>County consistently underperforms OSR targets across the tenure. FY2022/23: target Ksh 800M, actual Ksh 610M (local). FY2023/24: target Ksh 800M, actual Ksh 667M. FY2024/25: target Ksh 800M, actual Ksh 682M. Revenue Mobilization Strategy 2025–2030 acknowledges this gap but reforms are not yet delivering to target.</t>
  </si>
  <si>
    <t>Health Services Fund revenue is a positive outlier: FY2023/24 collected Ksh 740M against Ksh 573M target — exceeding by 29%. This cross-subsidises local revenue shortfalls in the consolidated budget.</t>
  </si>
  <si>
    <t>Source: Nyeri County Q3 Budget Implementation &amp; Project Status Report FY 2024/25  |  Q3 = period ended 31 March 2025</t>
  </si>
  <si>
    <t>Approved Budget
(KSh M)</t>
  </si>
  <si>
    <t>Q3 Cumulative
Spend (KSh M)</t>
  </si>
  <si>
    <t>Absorption
Rate (%)</t>
  </si>
  <si>
    <t>Remaining
Budget (KSh M)</t>
  </si>
  <si>
    <t>Projected
Year-End Spend</t>
  </si>
  <si>
    <t>Status</t>
  </si>
  <si>
    <t>Key Issues / Notes</t>
  </si>
  <si>
    <t>On Track</t>
  </si>
  <si>
    <t>Recurrent solid; development lagging. Wamagana Level IV launched.</t>
  </si>
  <si>
    <t>Moderate</t>
  </si>
  <si>
    <t>ECDE caregiver recruitment ongoing.</t>
  </si>
  <si>
    <t>Revenue automation pending.</t>
  </si>
  <si>
    <t>Ksh 113.3M climate fund projects in progress.</t>
  </si>
  <si>
    <t>Public Works &amp; Roads</t>
  </si>
  <si>
    <t>Rural roads gravel works seasonal.</t>
  </si>
  <si>
    <t>⚠ Slow</t>
  </si>
  <si>
    <t>Only 37.82% absorbed. Streetlight sustainability risk (OAG flagged).</t>
  </si>
  <si>
    <t>Sports, Gender &amp; Social Svc.</t>
  </si>
  <si>
    <t>Recurrent: Ksh 49.7M; Development: Ksh 24.2M vs Ksh 101.3M budget.</t>
  </si>
  <si>
    <t>County Executive &amp; Governor's Ofc.</t>
  </si>
  <si>
    <t>Governance &amp; CIDP coordination on schedule.</t>
  </si>
  <si>
    <t>Water &amp; Sanitation</t>
  </si>
  <si>
    <t>Borehole solar conversion underway.</t>
  </si>
  <si>
    <t>Lands &amp; Housing</t>
  </si>
  <si>
    <t>Physical planning boundary dispute ongoing.</t>
  </si>
  <si>
    <t>Public Service Management</t>
  </si>
  <si>
    <t>48.85% absorption. Staff internship cohort 4 completed.</t>
  </si>
  <si>
    <t>County Assembly</t>
  </si>
  <si>
    <t>Oversight function active; 3 audit committee reports tabled.</t>
  </si>
  <si>
    <t>COUNTY TOTAL</t>
  </si>
  <si>
    <t xml:space="preserve"> NYERI COUNTY – DEPARTMENTAL BUDGET vs ABSORPTION TRACKER  |  FY 2023/24</t>
  </si>
  <si>
    <r>
      <t xml:space="preserve">                            Department                                 </t>
    </r>
    <r>
      <rPr>
        <b/>
        <sz val="16"/>
        <color theme="1"/>
        <rFont val="Calibri"/>
        <family val="2"/>
      </rPr>
      <t xml:space="preserve"> </t>
    </r>
  </si>
  <si>
    <r>
      <t xml:space="preserve">Health Services                                       </t>
    </r>
    <r>
      <rPr>
        <b/>
        <sz val="16"/>
        <color theme="1"/>
        <rFont val="Calibri"/>
        <family val="2"/>
      </rPr>
      <t xml:space="preserve"> </t>
    </r>
  </si>
  <si>
    <r>
      <t xml:space="preserve"> Education ,Training &amp; Devolution                                                             </t>
    </r>
    <r>
      <rPr>
        <b/>
        <sz val="16"/>
        <color theme="1"/>
        <rFont val="Calibri"/>
        <family val="2"/>
      </rPr>
      <t xml:space="preserve"> </t>
    </r>
  </si>
  <si>
    <r>
      <t xml:space="preserve">Finance, Economic Planning &amp; ICT                                                             </t>
    </r>
    <r>
      <rPr>
        <b/>
        <sz val="16"/>
        <color theme="1"/>
        <rFont val="Calibri"/>
        <family val="2"/>
      </rPr>
      <t xml:space="preserve"> </t>
    </r>
  </si>
  <si>
    <t>COUNTY  TOTAL</t>
  </si>
  <si>
    <t xml:space="preserve">Source: Nyeri County Q3 Budget Implementation &amp; Project Status Report FY 2024/25  |  Q3 = period ended 31 March 2025   </t>
  </si>
  <si>
    <t xml:space="preserve">Finance, Economic Planning &amp; ICT                                                              </t>
  </si>
  <si>
    <t xml:space="preserve"> NYERI COUNTY – DEPARTMENTAL BUDGET vs ABSORPTION TRACKER  |  FY 2022/23</t>
  </si>
  <si>
    <t xml:space="preserve">   Source: Nyeri County Q3 Budget Implementation &amp; Project Status Report FY 2022/23  |  Q3 = period ended 31 March 2023</t>
  </si>
  <si>
    <t>High recurrent spend; FIF utilized</t>
  </si>
  <si>
    <t>ECDE caretaker recruitment.</t>
  </si>
  <si>
    <t xml:space="preserve">Budget Implementation monitoring </t>
  </si>
  <si>
    <t>Crop development and subsidy support</t>
  </si>
  <si>
    <t>Rural road upgrading ongoing</t>
  </si>
  <si>
    <t>Environmental management focus</t>
  </si>
  <si>
    <t>Cultural association support</t>
  </si>
  <si>
    <t>Service delivery  unit performance</t>
  </si>
  <si>
    <t>Borehole solarization initiative</t>
  </si>
  <si>
    <t>Urban infrastructure development</t>
  </si>
  <si>
    <t>Personnel management efficiency</t>
  </si>
  <si>
    <t>Optimal legislative oversight</t>
  </si>
  <si>
    <t xml:space="preserve">  NYERI COUNTY – DEPARTMENTAL BUDGET vs ABSORPTION TRACKER  |  FY 2024/25</t>
  </si>
  <si>
    <r>
      <rPr>
        <sz val="9"/>
        <color theme="1"/>
        <rFont val="Calibri"/>
        <family val="2"/>
      </rPr>
      <t xml:space="preserve">Source: Nyeri County Q3 Budget Implementation &amp; Project Status Report FY 2024/25  |  Q3 = period ended 31 March 2024         </t>
    </r>
    <r>
      <rPr>
        <sz val="11"/>
        <color theme="1"/>
        <rFont val="Calibri"/>
        <family val="2"/>
        <charset val="1"/>
      </rPr>
      <t xml:space="preserve">                                                    </t>
    </r>
    <r>
      <rPr>
        <b/>
        <sz val="16"/>
        <color theme="1"/>
        <rFont val="Calibri"/>
        <family val="2"/>
      </rPr>
      <t xml:space="preserve"> </t>
    </r>
  </si>
  <si>
    <t>3325..9</t>
  </si>
  <si>
    <t>Nyeri top 6 In national efficiency</t>
  </si>
  <si>
    <t>Successful bursary disbursement</t>
  </si>
  <si>
    <t>Revenue automation implementataion</t>
  </si>
  <si>
    <t>Value chain development projects</t>
  </si>
  <si>
    <t>High project completion rate</t>
  </si>
  <si>
    <t>Garbage collection system focus</t>
  </si>
  <si>
    <t xml:space="preserve">Social assistance funding gaps </t>
  </si>
  <si>
    <t>Governance coordination on track</t>
  </si>
  <si>
    <t>Borehole solarization ongoing</t>
  </si>
  <si>
    <t xml:space="preserve">Physical planning implementation </t>
  </si>
  <si>
    <t>HR coordination performance</t>
  </si>
  <si>
    <t>High legislative productivity</t>
  </si>
  <si>
    <t>NYERI COUNTY -DEPARTMENTAL BUDGET vs  ABSORPTION TRACKER | First Quarter FY 2025/26</t>
  </si>
  <si>
    <t>High FIF receivables constraints spend</t>
  </si>
  <si>
    <t>Rapid ECDE caregiver onboarding</t>
  </si>
  <si>
    <t>Revenue autonimation projects</t>
  </si>
  <si>
    <t>Climate fund projects in progress</t>
  </si>
  <si>
    <t>Streetlight sustainability risk (OAG flagged)</t>
  </si>
  <si>
    <t>Recurrent and development gaps</t>
  </si>
  <si>
    <t>Governance &amp;CIDP Coordination.</t>
  </si>
  <si>
    <t>Urban planning project delays</t>
  </si>
  <si>
    <t>Personnel management spending lagging</t>
  </si>
  <si>
    <t xml:space="preserve">County Assembly </t>
  </si>
  <si>
    <t>MCA sitting allowances at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</si>
</sst>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29" x14ac:knownFonts="1">
    <font>
      <sz val="11"/>
      <color theme="1"/>
      <name val="Calibri"/>
      <family val="2"/>
      <charset val="1"/>
    </font>
    <font>
      <b/>
      <sz val="13"/>
      <color rgb="FFFFFFFF"/>
      <name val="Arial"/>
      <charset val="1"/>
    </font>
    <font>
      <i/>
      <sz val="9"/>
      <color rgb="FFFFFFFF"/>
      <name val="Arial"/>
      <charset val="1"/>
    </font>
    <font>
      <b/>
      <sz val="10"/>
      <color rgb="FFFFFFFF"/>
      <name val="Arial"/>
      <charset val="1"/>
    </font>
    <font>
      <sz val="10"/>
      <color rgb="FF000000"/>
      <name val="Arial"/>
      <charset val="1"/>
    </font>
    <font>
      <sz val="10"/>
      <color rgb="FF0000FF"/>
      <name val="Arial"/>
      <charset val="1"/>
    </font>
    <font>
      <b/>
      <sz val="10"/>
      <color rgb="FF000000"/>
      <name val="Arial"/>
      <charset val="1"/>
    </font>
    <font>
      <sz val="10"/>
      <color rgb="FFFFFFFF"/>
      <name val="Arial"/>
      <charset val="1"/>
    </font>
    <font>
      <sz val="9"/>
      <color rgb="FF000000"/>
      <name val="Arial"/>
      <charset val="1"/>
    </font>
    <font>
      <b/>
      <sz val="10"/>
      <color rgb="FF7D5A00"/>
      <name val="Arial"/>
      <charset val="1"/>
    </font>
    <font>
      <b/>
      <sz val="9"/>
      <color rgb="FF7D5A00"/>
      <name val="Arial"/>
      <charset val="1"/>
    </font>
    <font>
      <sz val="9"/>
      <color rgb="FFC0392B"/>
      <name val="Arial"/>
      <charset val="1"/>
    </font>
    <font>
      <sz val="9"/>
      <color rgb="FF1A6B3A"/>
      <name val="Arial"/>
      <charset val="1"/>
    </font>
    <font>
      <b/>
      <sz val="9"/>
      <color rgb="FFC0392B"/>
      <name val="Arial"/>
      <charset val="1"/>
    </font>
    <font>
      <b/>
      <sz val="9"/>
      <color rgb="FF1A6B3A"/>
      <name val="Arial"/>
      <charset val="1"/>
    </font>
    <font>
      <b/>
      <sz val="10"/>
      <color rgb="FF1A6B3A"/>
      <name val="Arial"/>
      <charset val="1"/>
    </font>
    <font>
      <b/>
      <sz val="10"/>
      <color rgb="FFC0392B"/>
      <name val="Arial"/>
      <charset val="1"/>
    </font>
    <font>
      <sz val="16"/>
      <color theme="1"/>
      <name val="Calibri"/>
      <family val="2"/>
    </font>
    <font>
      <sz val="8"/>
      <name val="Calibri"/>
      <family val="2"/>
      <charset val="1"/>
    </font>
    <font>
      <i/>
      <sz val="9"/>
      <color rgb="FFFFFFFF"/>
      <name val="Arial"/>
      <family val="2"/>
    </font>
    <font>
      <b/>
      <sz val="13"/>
      <color rgb="FFFFFFFF"/>
      <name val="Arial"/>
      <family val="2"/>
    </font>
    <font>
      <b/>
      <sz val="16"/>
      <color theme="1"/>
      <name val="Calibri"/>
      <family val="2"/>
    </font>
    <font>
      <b/>
      <sz val="10"/>
      <color rgb="FFFFFFFF"/>
      <name val="Arial"/>
      <family val="2"/>
    </font>
    <font>
      <b/>
      <sz val="16"/>
      <name val="Calibri"/>
      <family val="2"/>
    </font>
    <font>
      <sz val="9"/>
      <color theme="1"/>
      <name val="Calibri"/>
      <family val="2"/>
    </font>
    <font>
      <sz val="11"/>
      <color theme="1"/>
      <name val="Calibri"/>
      <family val="2"/>
    </font>
    <font>
      <sz val="10"/>
      <color rgb="FF000000"/>
      <name val="Arial"/>
      <family val="2"/>
    </font>
    <font>
      <sz val="11"/>
      <name val="Calibri"/>
      <family val="2"/>
    </font>
    <font>
      <b/>
      <sz val="10"/>
      <color rgb="FFC0392B"/>
      <name val="Arial"/>
      <family val="2"/>
    </font>
  </fonts>
  <fills count="11">
    <fill>
      <patternFill patternType="none"/>
    </fill>
    <fill>
      <patternFill patternType="gray125"/>
    </fill>
    <fill>
      <patternFill patternType="solid">
        <fgColor rgb="FF1A4731"/>
        <bgColor rgb="FF2C3E50"/>
      </patternFill>
    </fill>
    <fill>
      <patternFill patternType="solid">
        <fgColor rgb="FF2D6A4F"/>
        <bgColor rgb="FF1A6B3A"/>
      </patternFill>
    </fill>
    <fill>
      <patternFill patternType="solid">
        <fgColor rgb="FFFFFFFF"/>
        <bgColor rgb="FFF5F5F5"/>
      </patternFill>
    </fill>
    <fill>
      <patternFill patternType="solid">
        <fgColor rgb="FFF5F5F5"/>
        <bgColor rgb="FFFFFFFF"/>
      </patternFill>
    </fill>
    <fill>
      <patternFill patternType="solid">
        <fgColor rgb="FFFFF3CD"/>
        <bgColor rgb="FFF5F5F5"/>
      </patternFill>
    </fill>
    <fill>
      <patternFill patternType="solid">
        <fgColor rgb="FFFFE0E0"/>
        <bgColor rgb="FFFFF3CD"/>
      </patternFill>
    </fill>
    <fill>
      <patternFill patternType="solid">
        <fgColor rgb="FFD8F3DC"/>
        <bgColor rgb="FFCCFFFF"/>
      </patternFill>
    </fill>
    <fill>
      <patternFill patternType="solid">
        <fgColor rgb="FF00B050"/>
        <bgColor indexed="64"/>
      </patternFill>
    </fill>
    <fill>
      <patternFill patternType="solid">
        <fgColor rgb="FF92D050"/>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2">
    <xf numFmtId="0" fontId="0" fillId="0" borderId="0" xfId="0"/>
    <xf numFmtId="0" fontId="3" fillId="3" borderId="1" xfId="0" applyFont="1" applyFill="1" applyBorder="1" applyAlignment="1">
      <alignment horizontal="center" vertical="top" wrapText="1"/>
    </xf>
    <xf numFmtId="0" fontId="4" fillId="4" borderId="1" xfId="0" applyFont="1" applyFill="1" applyBorder="1" applyAlignment="1">
      <alignment horizontal="left" vertical="top" wrapText="1"/>
    </xf>
    <xf numFmtId="4" fontId="5" fillId="4" borderId="1" xfId="0" applyNumberFormat="1" applyFont="1" applyFill="1" applyBorder="1" applyAlignment="1">
      <alignment horizontal="center" vertical="top" wrapText="1"/>
    </xf>
    <xf numFmtId="4" fontId="6" fillId="4" borderId="1" xfId="0" applyNumberFormat="1" applyFont="1" applyFill="1" applyBorder="1" applyAlignment="1">
      <alignment horizontal="center" vertical="top" wrapText="1"/>
    </xf>
    <xf numFmtId="0" fontId="4" fillId="4" borderId="1" xfId="0" applyFont="1" applyFill="1" applyBorder="1" applyAlignment="1">
      <alignment horizontal="center" vertical="top" wrapText="1"/>
    </xf>
    <xf numFmtId="0" fontId="4" fillId="5" borderId="1" xfId="0" applyFont="1" applyFill="1" applyBorder="1" applyAlignment="1">
      <alignment horizontal="left" vertical="top" wrapText="1"/>
    </xf>
    <xf numFmtId="4" fontId="5" fillId="5" borderId="1" xfId="0" applyNumberFormat="1" applyFont="1" applyFill="1" applyBorder="1" applyAlignment="1">
      <alignment horizontal="center" vertical="top" wrapText="1"/>
    </xf>
    <xf numFmtId="4" fontId="6" fillId="5" borderId="1" xfId="0" applyNumberFormat="1" applyFont="1" applyFill="1" applyBorder="1" applyAlignment="1">
      <alignment horizontal="center" vertical="top" wrapText="1"/>
    </xf>
    <xf numFmtId="0" fontId="4" fillId="5" borderId="1" xfId="0" applyFont="1" applyFill="1" applyBorder="1" applyAlignment="1">
      <alignment horizontal="center" vertical="top" wrapText="1"/>
    </xf>
    <xf numFmtId="0" fontId="3" fillId="2" borderId="1" xfId="0" applyFont="1" applyFill="1" applyBorder="1" applyAlignment="1">
      <alignment horizontal="left" vertical="top" wrapText="1"/>
    </xf>
    <xf numFmtId="4" fontId="7" fillId="2" borderId="1" xfId="0" applyNumberFormat="1" applyFont="1" applyFill="1" applyBorder="1" applyAlignment="1">
      <alignment horizontal="center" vertical="top" wrapText="1"/>
    </xf>
    <xf numFmtId="4" fontId="3" fillId="2" borderId="1" xfId="0" applyNumberFormat="1" applyFont="1" applyFill="1" applyBorder="1" applyAlignment="1">
      <alignment horizontal="center" vertical="top" wrapText="1"/>
    </xf>
    <xf numFmtId="0" fontId="3" fillId="2" borderId="1" xfId="0" applyFont="1" applyFill="1" applyBorder="1" applyAlignment="1">
      <alignment horizontal="center" vertical="top" wrapText="1"/>
    </xf>
    <xf numFmtId="164" fontId="5" fillId="4" borderId="1" xfId="0" applyNumberFormat="1" applyFont="1" applyFill="1" applyBorder="1" applyAlignment="1">
      <alignment horizontal="center" vertical="top" wrapText="1"/>
    </xf>
    <xf numFmtId="165" fontId="4" fillId="4" borderId="1" xfId="0" applyNumberFormat="1" applyFont="1" applyFill="1" applyBorder="1" applyAlignment="1">
      <alignment horizontal="center" vertical="top" wrapText="1"/>
    </xf>
    <xf numFmtId="164" fontId="5" fillId="5" borderId="1" xfId="0" applyNumberFormat="1" applyFont="1" applyFill="1" applyBorder="1" applyAlignment="1">
      <alignment horizontal="center" vertical="top" wrapText="1"/>
    </xf>
    <xf numFmtId="165" fontId="4" fillId="5" borderId="1" xfId="0" applyNumberFormat="1" applyFont="1" applyFill="1" applyBorder="1" applyAlignment="1">
      <alignment horizontal="center" vertical="top" wrapText="1"/>
    </xf>
    <xf numFmtId="0" fontId="8" fillId="4" borderId="1" xfId="0" applyFont="1" applyFill="1" applyBorder="1" applyAlignment="1">
      <alignment horizontal="left" vertical="top" wrapText="1"/>
    </xf>
    <xf numFmtId="166" fontId="9" fillId="6" borderId="1" xfId="0" applyNumberFormat="1" applyFont="1" applyFill="1" applyBorder="1" applyAlignment="1">
      <alignment horizontal="left" vertical="top" wrapText="1"/>
    </xf>
    <xf numFmtId="0" fontId="10" fillId="6"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13" fillId="7" borderId="1" xfId="0" applyFont="1" applyFill="1" applyBorder="1" applyAlignment="1">
      <alignment horizontal="left" vertical="top" wrapText="1"/>
    </xf>
    <xf numFmtId="0" fontId="14" fillId="8" borderId="1" xfId="0" applyFont="1" applyFill="1" applyBorder="1" applyAlignment="1">
      <alignment horizontal="left" vertical="top" wrapText="1"/>
    </xf>
    <xf numFmtId="166" fontId="5" fillId="4" borderId="1" xfId="0" applyNumberFormat="1" applyFont="1" applyFill="1" applyBorder="1" applyAlignment="1">
      <alignment horizontal="center" vertical="top" wrapText="1"/>
    </xf>
    <xf numFmtId="166" fontId="4" fillId="4" borderId="1" xfId="0" applyNumberFormat="1" applyFont="1" applyFill="1" applyBorder="1" applyAlignment="1">
      <alignment horizontal="center" vertical="top" wrapText="1"/>
    </xf>
    <xf numFmtId="0" fontId="15" fillId="8" borderId="1" xfId="0" applyFont="1" applyFill="1" applyBorder="1" applyAlignment="1">
      <alignment horizontal="center" vertical="top" wrapText="1"/>
    </xf>
    <xf numFmtId="166" fontId="5" fillId="5" borderId="1" xfId="0" applyNumberFormat="1" applyFont="1" applyFill="1" applyBorder="1" applyAlignment="1">
      <alignment horizontal="center" vertical="top" wrapText="1"/>
    </xf>
    <xf numFmtId="166" fontId="4" fillId="5" borderId="1" xfId="0" applyNumberFormat="1" applyFont="1" applyFill="1" applyBorder="1" applyAlignment="1">
      <alignment horizontal="center" vertical="top" wrapText="1"/>
    </xf>
    <xf numFmtId="0" fontId="9" fillId="6" borderId="1" xfId="0" applyFont="1" applyFill="1" applyBorder="1" applyAlignment="1">
      <alignment horizontal="center" vertical="top" wrapText="1"/>
    </xf>
    <xf numFmtId="0" fontId="16" fillId="7" borderId="1" xfId="0" applyFont="1" applyFill="1" applyBorder="1" applyAlignment="1">
      <alignment horizontal="center" vertical="top" wrapText="1"/>
    </xf>
    <xf numFmtId="166" fontId="3" fillId="2" borderId="1" xfId="0" applyNumberFormat="1" applyFont="1" applyFill="1" applyBorder="1" applyAlignment="1">
      <alignment horizontal="center" vertical="top" wrapText="1"/>
    </xf>
    <xf numFmtId="165" fontId="3" fillId="2" borderId="1" xfId="0" applyNumberFormat="1" applyFont="1" applyFill="1" applyBorder="1" applyAlignment="1">
      <alignment horizontal="center" vertical="top" wrapText="1"/>
    </xf>
    <xf numFmtId="0" fontId="0" fillId="9" borderId="0" xfId="0" applyFill="1"/>
    <xf numFmtId="0" fontId="0" fillId="0" borderId="0" xfId="0" applyAlignment="1">
      <alignment wrapText="1"/>
    </xf>
    <xf numFmtId="0" fontId="22" fillId="3" borderId="1" xfId="0" applyFont="1" applyFill="1" applyBorder="1" applyAlignment="1">
      <alignment horizontal="center" vertical="top" wrapText="1"/>
    </xf>
    <xf numFmtId="0" fontId="0" fillId="10" borderId="0" xfId="0" applyFill="1" applyAlignment="1">
      <alignment wrapText="1"/>
    </xf>
    <xf numFmtId="0" fontId="0" fillId="0" borderId="0" xfId="0" applyAlignment="1">
      <alignment horizontal="center"/>
    </xf>
    <xf numFmtId="0" fontId="26" fillId="4" borderId="1" xfId="0" applyFont="1" applyFill="1" applyBorder="1" applyAlignment="1">
      <alignment horizontal="left" vertical="top" wrapText="1"/>
    </xf>
    <xf numFmtId="0" fontId="0" fillId="0" borderId="0" xfId="0" applyAlignment="1">
      <alignment horizontal="left" wrapText="1"/>
    </xf>
    <xf numFmtId="0" fontId="3" fillId="0" borderId="1" xfId="0" applyFont="1" applyBorder="1" applyAlignment="1">
      <alignment horizontal="center" vertical="top" wrapText="1"/>
    </xf>
    <xf numFmtId="0" fontId="0" fillId="10" borderId="4" xfId="0" applyFill="1" applyBorder="1"/>
    <xf numFmtId="0" fontId="0" fillId="10" borderId="4" xfId="0" applyFill="1" applyBorder="1" applyAlignment="1">
      <alignment wrapText="1"/>
    </xf>
    <xf numFmtId="0" fontId="0" fillId="9" borderId="4" xfId="0" applyFill="1" applyBorder="1"/>
    <xf numFmtId="4" fontId="0" fillId="0" borderId="0" xfId="0" applyNumberFormat="1"/>
    <xf numFmtId="10" fontId="0" fillId="0" borderId="0" xfId="0" applyNumberFormat="1"/>
    <xf numFmtId="4" fontId="0" fillId="9" borderId="4" xfId="0" applyNumberFormat="1" applyFill="1" applyBorder="1"/>
    <xf numFmtId="3" fontId="0" fillId="9" borderId="4" xfId="0" applyNumberFormat="1" applyFill="1" applyBorder="1"/>
    <xf numFmtId="10" fontId="0" fillId="9" borderId="4" xfId="0" applyNumberFormat="1" applyFill="1" applyBorder="1"/>
    <xf numFmtId="0" fontId="0" fillId="9" borderId="4" xfId="0" applyFill="1" applyBorder="1" applyAlignment="1">
      <alignment wrapText="1"/>
    </xf>
    <xf numFmtId="9" fontId="0" fillId="9" borderId="4" xfId="0" applyNumberFormat="1" applyFill="1" applyBorder="1"/>
    <xf numFmtId="2" fontId="0" fillId="0" borderId="0" xfId="0" applyNumberFormat="1"/>
    <xf numFmtId="0" fontId="28" fillId="7" borderId="1" xfId="0" applyFont="1" applyFill="1" applyBorder="1" applyAlignment="1">
      <alignment horizontal="center" vertical="top" wrapText="1"/>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0" borderId="2" xfId="0" applyFont="1" applyBorder="1" applyAlignment="1">
      <alignment horizontal="left" vertical="center"/>
    </xf>
    <xf numFmtId="0" fontId="0" fillId="0" borderId="0" xfId="0"/>
    <xf numFmtId="0" fontId="8" fillId="4"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21" fillId="9" borderId="0" xfId="0" applyFont="1" applyFill="1" applyAlignment="1">
      <alignment horizontal="center"/>
    </xf>
    <xf numFmtId="0" fontId="0" fillId="9" borderId="0" xfId="0" applyFill="1" applyAlignment="1">
      <alignment horizontal="center"/>
    </xf>
    <xf numFmtId="0" fontId="20" fillId="2" borderId="0" xfId="0" applyFont="1" applyFill="1" applyAlignment="1">
      <alignment horizontal="center" vertical="center"/>
    </xf>
    <xf numFmtId="0" fontId="19" fillId="3" borderId="0" xfId="0" applyFont="1" applyFill="1" applyAlignment="1">
      <alignment horizontal="center" vertical="center"/>
    </xf>
    <xf numFmtId="0" fontId="3" fillId="2" borderId="2" xfId="0" applyFont="1" applyFill="1" applyBorder="1"/>
    <xf numFmtId="0" fontId="23" fillId="9" borderId="0" xfId="0" applyFont="1" applyFill="1" applyAlignment="1">
      <alignment horizontal="center"/>
    </xf>
    <xf numFmtId="0" fontId="27" fillId="9" borderId="0" xfId="0" applyFont="1" applyFill="1" applyAlignment="1">
      <alignment horizontal="center"/>
    </xf>
    <xf numFmtId="0" fontId="25" fillId="9" borderId="0" xfId="0" applyFont="1" applyFill="1" applyAlignment="1">
      <alignment horizontal="center" wrapText="1"/>
    </xf>
    <xf numFmtId="0" fontId="0" fillId="9" borderId="0" xfId="0" applyFill="1" applyAlignment="1">
      <alignment horizontal="center" wrapText="1"/>
    </xf>
    <xf numFmtId="0" fontId="0" fillId="10" borderId="0" xfId="0" applyFill="1" applyAlignment="1">
      <alignment horizontal="center"/>
    </xf>
    <xf numFmtId="0" fontId="17" fillId="9" borderId="3"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6B3A"/>
      <rgbColor rgb="FF000080"/>
      <rgbColor rgb="FF7D5A00"/>
      <rgbColor rgb="FF800080"/>
      <rgbColor rgb="FF2D6A4F"/>
      <rgbColor rgb="FFCCCCCC"/>
      <rgbColor rgb="FF808080"/>
      <rgbColor rgb="FF9999FF"/>
      <rgbColor rgb="FF993366"/>
      <rgbColor rgb="FFFFF3CD"/>
      <rgbColor rgb="FFF5F5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8F3DC"/>
      <rgbColor rgb="FFFFFF99"/>
      <rgbColor rgb="FF99CCFF"/>
      <rgbColor rgb="FFFF99CC"/>
      <rgbColor rgb="FFCC99FF"/>
      <rgbColor rgb="FFFFE0E0"/>
      <rgbColor rgb="FF3366FF"/>
      <rgbColor rgb="FF33CCCC"/>
      <rgbColor rgb="FF99CC00"/>
      <rgbColor rgb="FFFFCC00"/>
      <rgbColor rgb="FFFF9900"/>
      <rgbColor rgb="FFFF6600"/>
      <rgbColor rgb="FF666699"/>
      <rgbColor rgb="FF969696"/>
      <rgbColor rgb="FF003366"/>
      <rgbColor rgb="FF339966"/>
      <rgbColor rgb="FF003300"/>
      <rgbColor rgb="FF1A4731"/>
      <rgbColor rgb="FFC0392B"/>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showGridLines="0" tabSelected="1" topLeftCell="B3" zoomScaleNormal="100" workbookViewId="0">
      <selection activeCell="H4" sqref="H4"/>
    </sheetView>
  </sheetViews>
  <sheetFormatPr defaultColWidth="8.6328125" defaultRowHeight="14.5" x14ac:dyDescent="0.35"/>
  <cols>
    <col min="1" max="1" width="26" customWidth="1"/>
    <col min="2" max="2" width="22" customWidth="1"/>
    <col min="3" max="6" width="18" customWidth="1"/>
    <col min="7" max="7" width="20" customWidth="1"/>
    <col min="8" max="8" width="22" customWidth="1"/>
  </cols>
  <sheetData>
    <row r="1" spans="1:8" ht="30" customHeight="1" x14ac:dyDescent="0.35">
      <c r="A1" s="55" t="s">
        <v>0</v>
      </c>
      <c r="B1" s="55"/>
      <c r="C1" s="55"/>
      <c r="D1" s="55"/>
      <c r="E1" s="55"/>
      <c r="F1" s="55"/>
      <c r="G1" s="55"/>
      <c r="H1" s="55"/>
    </row>
    <row r="2" spans="1:8" ht="15.75" customHeight="1" x14ac:dyDescent="0.35">
      <c r="A2" s="56" t="s">
        <v>1</v>
      </c>
      <c r="B2" s="56"/>
      <c r="C2" s="56"/>
      <c r="D2" s="56"/>
      <c r="E2" s="56"/>
      <c r="F2" s="56"/>
      <c r="G2" s="56"/>
      <c r="H2" s="56"/>
    </row>
    <row r="3" spans="1:8" ht="37.5" customHeight="1" x14ac:dyDescent="0.35">
      <c r="A3" s="1" t="s">
        <v>2</v>
      </c>
      <c r="B3" s="1" t="s">
        <v>3</v>
      </c>
      <c r="C3" s="1" t="s">
        <v>4</v>
      </c>
      <c r="D3" s="1" t="s">
        <v>5</v>
      </c>
      <c r="E3" s="1" t="s">
        <v>6</v>
      </c>
      <c r="F3" s="1" t="s">
        <v>7</v>
      </c>
      <c r="G3" s="1" t="s">
        <v>8</v>
      </c>
      <c r="H3" s="1" t="s">
        <v>9</v>
      </c>
    </row>
    <row r="4" spans="1:8" ht="43.5" customHeight="1" x14ac:dyDescent="0.35">
      <c r="A4" s="2" t="s">
        <v>10</v>
      </c>
      <c r="B4" s="2" t="s">
        <v>11</v>
      </c>
      <c r="C4" s="3">
        <v>6.31</v>
      </c>
      <c r="D4" s="3">
        <v>6.5</v>
      </c>
      <c r="E4" s="3">
        <v>6.5</v>
      </c>
      <c r="F4" s="3">
        <v>6.8</v>
      </c>
      <c r="G4" s="4">
        <f>SUM(C4:F4)</f>
        <v>26.11</v>
      </c>
      <c r="H4" s="5"/>
    </row>
    <row r="5" spans="1:8" ht="43.5" customHeight="1" x14ac:dyDescent="0.35">
      <c r="A5" s="6" t="s">
        <v>12</v>
      </c>
      <c r="B5" s="6" t="s">
        <v>13</v>
      </c>
      <c r="C5" s="7">
        <v>1.1000000000000001</v>
      </c>
      <c r="D5" s="7">
        <v>1.2</v>
      </c>
      <c r="E5" s="7">
        <v>1.3</v>
      </c>
      <c r="F5" s="7">
        <v>1.35</v>
      </c>
      <c r="G5" s="8">
        <f>SUM(C5:F5)</f>
        <v>4.9499999999999993</v>
      </c>
      <c r="H5" s="9" t="s">
        <v>14</v>
      </c>
    </row>
    <row r="6" spans="1:8" ht="43.5" customHeight="1" x14ac:dyDescent="0.35">
      <c r="A6" s="2" t="s">
        <v>15</v>
      </c>
      <c r="B6" s="2" t="s">
        <v>16</v>
      </c>
      <c r="C6" s="3">
        <v>0.61</v>
      </c>
      <c r="D6" s="3">
        <v>0.67</v>
      </c>
      <c r="E6" s="3">
        <v>0.68</v>
      </c>
      <c r="F6" s="3">
        <v>0.72</v>
      </c>
      <c r="G6" s="4">
        <f>SUM(C6:F6)</f>
        <v>2.6799999999999997</v>
      </c>
      <c r="H6" s="5" t="s">
        <v>17</v>
      </c>
    </row>
    <row r="7" spans="1:8" ht="43.5" customHeight="1" x14ac:dyDescent="0.35">
      <c r="A7" s="6" t="s">
        <v>18</v>
      </c>
      <c r="B7" s="6" t="s">
        <v>19</v>
      </c>
      <c r="C7" s="7">
        <v>0.47</v>
      </c>
      <c r="D7" s="7">
        <v>0.74</v>
      </c>
      <c r="E7" s="7">
        <v>0.77</v>
      </c>
      <c r="F7" s="7">
        <v>0.8</v>
      </c>
      <c r="G7" s="8">
        <f>SUM(C7:F7)</f>
        <v>2.7800000000000002</v>
      </c>
      <c r="H7" s="9" t="s">
        <v>20</v>
      </c>
    </row>
    <row r="8" spans="1:8" ht="36" customHeight="1" x14ac:dyDescent="0.35">
      <c r="A8" s="10" t="s">
        <v>21</v>
      </c>
      <c r="B8" s="10" t="s">
        <v>22</v>
      </c>
      <c r="C8" s="11">
        <v>7.7</v>
      </c>
      <c r="D8" s="11">
        <v>8.1999999999999993</v>
      </c>
      <c r="E8" s="11">
        <v>8.6999999999999993</v>
      </c>
      <c r="F8" s="11">
        <v>9.1999999999999993</v>
      </c>
      <c r="G8" s="12">
        <f>SUM(C8:F8)</f>
        <v>33.799999999999997</v>
      </c>
      <c r="H8" s="13" t="s">
        <v>23</v>
      </c>
    </row>
    <row r="10" spans="1:8" ht="21.75" customHeight="1" x14ac:dyDescent="0.35">
      <c r="A10" s="57"/>
      <c r="B10" s="57"/>
      <c r="C10" s="57"/>
      <c r="D10" s="57"/>
      <c r="E10" s="57"/>
      <c r="F10" s="57"/>
      <c r="G10" s="57"/>
      <c r="H10" s="57"/>
    </row>
    <row r="11" spans="1:8" ht="24" customHeight="1" x14ac:dyDescent="0.35">
      <c r="A11" s="42"/>
      <c r="B11" s="42"/>
      <c r="C11" s="42"/>
      <c r="D11" s="42"/>
      <c r="E11" s="58"/>
      <c r="F11" s="58"/>
      <c r="G11" s="58"/>
      <c r="H11" s="58"/>
    </row>
    <row r="12" spans="1:8" ht="19.5" customHeight="1" x14ac:dyDescent="0.35">
      <c r="A12" s="2"/>
      <c r="B12" s="14"/>
      <c r="C12" s="15"/>
      <c r="D12" s="59"/>
      <c r="E12" s="59"/>
      <c r="F12" s="59"/>
      <c r="G12" s="59"/>
      <c r="H12" s="59"/>
    </row>
    <row r="13" spans="1:8" ht="19.5" customHeight="1" x14ac:dyDescent="0.35">
      <c r="A13" s="6"/>
      <c r="B13" s="16"/>
      <c r="C13" s="17"/>
      <c r="D13" s="60"/>
      <c r="E13" s="60"/>
      <c r="F13" s="60"/>
      <c r="G13" s="60"/>
      <c r="H13" s="60"/>
    </row>
    <row r="14" spans="1:8" ht="19.5" customHeight="1" x14ac:dyDescent="0.35">
      <c r="A14" s="2"/>
      <c r="B14" s="14"/>
      <c r="C14" s="15"/>
      <c r="D14" s="59"/>
      <c r="E14" s="59"/>
      <c r="F14" s="59"/>
      <c r="G14" s="59"/>
      <c r="H14" s="59"/>
    </row>
    <row r="15" spans="1:8" ht="19.5" customHeight="1" x14ac:dyDescent="0.35">
      <c r="A15" s="6"/>
      <c r="B15" s="16"/>
      <c r="C15" s="17"/>
      <c r="D15" s="60"/>
      <c r="E15" s="60"/>
      <c r="F15" s="60"/>
      <c r="G15" s="60"/>
      <c r="H15" s="60"/>
    </row>
    <row r="16" spans="1:8" ht="19.5" customHeight="1" x14ac:dyDescent="0.35">
      <c r="A16" s="2"/>
      <c r="B16" s="14"/>
      <c r="C16" s="15"/>
      <c r="D16" s="59"/>
      <c r="E16" s="59"/>
      <c r="F16" s="59"/>
      <c r="G16" s="59"/>
      <c r="H16" s="59"/>
    </row>
    <row r="17" spans="1:8" ht="19.5" customHeight="1" x14ac:dyDescent="0.35">
      <c r="A17" s="6"/>
      <c r="B17" s="16"/>
      <c r="C17" s="17"/>
      <c r="D17" s="60"/>
      <c r="E17" s="60"/>
      <c r="F17" s="60"/>
      <c r="G17" s="60"/>
      <c r="H17" s="60"/>
    </row>
    <row r="18" spans="1:8" ht="19.5" customHeight="1" x14ac:dyDescent="0.35">
      <c r="A18" s="2"/>
      <c r="B18" s="14"/>
      <c r="C18" s="15"/>
      <c r="D18" s="59"/>
      <c r="E18" s="59"/>
      <c r="F18" s="59"/>
      <c r="G18" s="59"/>
      <c r="H18" s="59"/>
    </row>
    <row r="19" spans="1:8" ht="19.5" customHeight="1" x14ac:dyDescent="0.35">
      <c r="A19" s="6"/>
      <c r="B19" s="16"/>
      <c r="C19" s="17"/>
      <c r="D19" s="60"/>
      <c r="E19" s="60"/>
      <c r="F19" s="60"/>
      <c r="G19" s="60"/>
      <c r="H19" s="60"/>
    </row>
    <row r="20" spans="1:8" ht="19.5" customHeight="1" x14ac:dyDescent="0.35">
      <c r="A20" s="2"/>
      <c r="B20" s="14"/>
      <c r="C20" s="15"/>
      <c r="D20" s="59"/>
      <c r="E20" s="59"/>
      <c r="F20" s="59"/>
      <c r="G20" s="59"/>
      <c r="H20" s="59"/>
    </row>
    <row r="21" spans="1:8" ht="19.5" customHeight="1" x14ac:dyDescent="0.35">
      <c r="A21" s="6"/>
      <c r="B21" s="16"/>
      <c r="C21" s="17"/>
      <c r="D21" s="60"/>
      <c r="E21" s="60"/>
      <c r="F21" s="60"/>
      <c r="G21" s="60"/>
      <c r="H21" s="60"/>
    </row>
    <row r="22" spans="1:8" ht="19.5" customHeight="1" x14ac:dyDescent="0.35">
      <c r="A22" s="2"/>
      <c r="B22" s="14"/>
      <c r="C22" s="15"/>
      <c r="D22" s="59"/>
      <c r="E22" s="59"/>
      <c r="F22" s="59"/>
      <c r="G22" s="59"/>
      <c r="H22" s="59"/>
    </row>
  </sheetData>
  <mergeCells count="15">
    <mergeCell ref="D18:H18"/>
    <mergeCell ref="D19:H19"/>
    <mergeCell ref="D20:H20"/>
    <mergeCell ref="D21:H21"/>
    <mergeCell ref="D22:H22"/>
    <mergeCell ref="D13:H13"/>
    <mergeCell ref="D14:H14"/>
    <mergeCell ref="D15:H15"/>
    <mergeCell ref="D16:H16"/>
    <mergeCell ref="D17:H17"/>
    <mergeCell ref="A1:H1"/>
    <mergeCell ref="A2:H2"/>
    <mergeCell ref="A10:H10"/>
    <mergeCell ref="E11:H11"/>
    <mergeCell ref="D12:H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showGridLines="0" zoomScaleNormal="100" workbookViewId="0">
      <selection sqref="A1:F1"/>
    </sheetView>
  </sheetViews>
  <sheetFormatPr defaultColWidth="8.6328125" defaultRowHeight="14.5" x14ac:dyDescent="0.35"/>
  <cols>
    <col min="1" max="1" width="20" customWidth="1"/>
    <col min="2" max="2" width="14" customWidth="1"/>
    <col min="3" max="4" width="16" customWidth="1"/>
    <col min="5" max="5" width="52" customWidth="1"/>
    <col min="6" max="6" width="46" customWidth="1"/>
  </cols>
  <sheetData>
    <row r="1" spans="1:6" ht="30" customHeight="1" x14ac:dyDescent="0.35">
      <c r="A1" s="55" t="s">
        <v>30</v>
      </c>
      <c r="B1" s="55"/>
      <c r="C1" s="55"/>
      <c r="D1" s="55"/>
      <c r="E1" s="55"/>
      <c r="F1" s="55"/>
    </row>
    <row r="2" spans="1:6" ht="15.75" customHeight="1" x14ac:dyDescent="0.35">
      <c r="A2" s="56" t="s">
        <v>31</v>
      </c>
      <c r="B2" s="56"/>
      <c r="C2" s="56"/>
      <c r="D2" s="56"/>
      <c r="E2" s="56"/>
      <c r="F2" s="56"/>
    </row>
    <row r="3" spans="1:6" ht="37.5" customHeight="1" x14ac:dyDescent="0.35">
      <c r="A3" s="1" t="s">
        <v>32</v>
      </c>
      <c r="B3" s="1" t="s">
        <v>33</v>
      </c>
      <c r="C3" s="1" t="s">
        <v>34</v>
      </c>
      <c r="D3" s="1" t="s">
        <v>35</v>
      </c>
      <c r="E3" s="1" t="s">
        <v>36</v>
      </c>
      <c r="F3" s="1" t="s">
        <v>37</v>
      </c>
    </row>
    <row r="4" spans="1:6" ht="109.5" customHeight="1" x14ac:dyDescent="0.35">
      <c r="A4" s="2" t="s">
        <v>38</v>
      </c>
      <c r="B4" s="18" t="s">
        <v>39</v>
      </c>
      <c r="C4" s="19" t="s">
        <v>40</v>
      </c>
      <c r="D4" s="20" t="s">
        <v>41</v>
      </c>
      <c r="E4" s="21" t="s">
        <v>42</v>
      </c>
      <c r="F4" s="22" t="s">
        <v>43</v>
      </c>
    </row>
    <row r="5" spans="1:6" ht="109.5" customHeight="1" x14ac:dyDescent="0.35">
      <c r="A5" s="6" t="s">
        <v>44</v>
      </c>
      <c r="B5" s="23" t="s">
        <v>45</v>
      </c>
      <c r="C5" s="19">
        <v>9.86</v>
      </c>
      <c r="D5" s="24" t="s">
        <v>46</v>
      </c>
      <c r="E5" s="21" t="s">
        <v>47</v>
      </c>
      <c r="F5" s="22" t="s">
        <v>48</v>
      </c>
    </row>
    <row r="6" spans="1:6" ht="109.5" customHeight="1" x14ac:dyDescent="0.35">
      <c r="A6" s="2" t="s">
        <v>49</v>
      </c>
      <c r="B6" s="18" t="s">
        <v>50</v>
      </c>
      <c r="C6" s="19">
        <v>104</v>
      </c>
      <c r="D6" s="20" t="s">
        <v>41</v>
      </c>
      <c r="E6" s="21" t="s">
        <v>51</v>
      </c>
      <c r="F6" s="22" t="s">
        <v>52</v>
      </c>
    </row>
    <row r="7" spans="1:6" ht="109.5" customHeight="1" x14ac:dyDescent="0.35">
      <c r="A7" s="6" t="s">
        <v>53</v>
      </c>
      <c r="B7" s="23" t="s">
        <v>54</v>
      </c>
      <c r="C7" s="19" t="s">
        <v>40</v>
      </c>
      <c r="D7" s="20" t="s">
        <v>41</v>
      </c>
      <c r="E7" s="21" t="s">
        <v>55</v>
      </c>
      <c r="F7" s="22" t="s">
        <v>56</v>
      </c>
    </row>
    <row r="8" spans="1:6" ht="109.5" customHeight="1" x14ac:dyDescent="0.35">
      <c r="A8" s="2" t="s">
        <v>57</v>
      </c>
      <c r="B8" s="18" t="s">
        <v>54</v>
      </c>
      <c r="C8" s="19" t="s">
        <v>40</v>
      </c>
      <c r="D8" s="25" t="s">
        <v>58</v>
      </c>
      <c r="E8" s="21" t="s">
        <v>59</v>
      </c>
      <c r="F8" s="22" t="s">
        <v>60</v>
      </c>
    </row>
    <row r="9" spans="1:6" ht="109.5" customHeight="1" x14ac:dyDescent="0.35">
      <c r="A9" s="6" t="s">
        <v>61</v>
      </c>
      <c r="B9" s="23" t="s">
        <v>62</v>
      </c>
      <c r="C9" s="19">
        <v>592</v>
      </c>
      <c r="D9" s="25" t="s">
        <v>63</v>
      </c>
      <c r="E9" s="21" t="s">
        <v>64</v>
      </c>
      <c r="F9" s="22" t="s">
        <v>65</v>
      </c>
    </row>
    <row r="10" spans="1:6" ht="109.5" customHeight="1" x14ac:dyDescent="0.35">
      <c r="A10" s="2" t="s">
        <v>66</v>
      </c>
      <c r="B10" s="18" t="s">
        <v>67</v>
      </c>
      <c r="C10" s="19" t="s">
        <v>40</v>
      </c>
      <c r="D10" s="20" t="s">
        <v>41</v>
      </c>
      <c r="E10" s="21" t="s">
        <v>68</v>
      </c>
      <c r="F10" s="22" t="s">
        <v>69</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4"/>
  <sheetViews>
    <sheetView topLeftCell="A7" zoomScale="68" zoomScaleNormal="68" workbookViewId="0">
      <selection activeCell="G21" sqref="G21"/>
    </sheetView>
  </sheetViews>
  <sheetFormatPr defaultColWidth="8.6328125" defaultRowHeight="14.5" x14ac:dyDescent="0.35"/>
  <cols>
    <col min="1" max="1" width="26" customWidth="1"/>
    <col min="2" max="6" width="16" customWidth="1"/>
    <col min="7" max="7" width="18" customWidth="1"/>
    <col min="8" max="8" width="30" customWidth="1"/>
  </cols>
  <sheetData>
    <row r="1" spans="1:8" ht="30" customHeight="1" x14ac:dyDescent="0.35">
      <c r="A1" s="63" t="s">
        <v>123</v>
      </c>
      <c r="B1" s="55"/>
      <c r="C1" s="55"/>
      <c r="D1" s="55"/>
      <c r="E1" s="55"/>
      <c r="F1" s="55"/>
      <c r="G1" s="55"/>
      <c r="H1" s="55"/>
    </row>
    <row r="2" spans="1:8" ht="15.75" customHeight="1" x14ac:dyDescent="0.35">
      <c r="A2" s="64" t="s">
        <v>70</v>
      </c>
      <c r="B2" s="56"/>
      <c r="C2" s="56"/>
      <c r="D2" s="56"/>
      <c r="E2" s="56"/>
      <c r="F2" s="56"/>
      <c r="G2" s="56"/>
      <c r="H2" s="56"/>
    </row>
    <row r="3" spans="1:8" ht="37.5" customHeight="1" x14ac:dyDescent="0.35">
      <c r="A3" s="37" t="s">
        <v>24</v>
      </c>
      <c r="B3" s="37" t="s">
        <v>71</v>
      </c>
      <c r="C3" s="37" t="s">
        <v>72</v>
      </c>
      <c r="D3" s="37" t="s">
        <v>73</v>
      </c>
      <c r="E3" s="37" t="s">
        <v>74</v>
      </c>
      <c r="F3" s="37" t="s">
        <v>75</v>
      </c>
      <c r="G3" s="37" t="s">
        <v>76</v>
      </c>
      <c r="H3" s="37" t="s">
        <v>77</v>
      </c>
    </row>
    <row r="4" spans="1:8" ht="24" customHeight="1" x14ac:dyDescent="0.35">
      <c r="A4" s="40" t="s">
        <v>25</v>
      </c>
      <c r="B4" s="26">
        <v>3043.5</v>
      </c>
      <c r="C4" s="26">
        <v>2091.1999999999998</v>
      </c>
      <c r="D4" s="15">
        <f t="shared" ref="D4:D16" si="0">C4/B4*100</f>
        <v>68.71036635452603</v>
      </c>
      <c r="E4" s="27">
        <f t="shared" ref="E4:E16" si="1">B4-C4</f>
        <v>952.30000000000018</v>
      </c>
      <c r="F4" s="27">
        <f t="shared" ref="F4:F16" si="2">C4/0.75</f>
        <v>2788.2666666666664</v>
      </c>
      <c r="G4" s="28" t="s">
        <v>78</v>
      </c>
      <c r="H4" s="18" t="s">
        <v>79</v>
      </c>
    </row>
    <row r="5" spans="1:8" ht="24" customHeight="1" x14ac:dyDescent="0.35">
      <c r="A5" s="6" t="s">
        <v>26</v>
      </c>
      <c r="B5" s="29">
        <v>638</v>
      </c>
      <c r="C5" s="29">
        <v>375</v>
      </c>
      <c r="D5" s="17">
        <f t="shared" si="0"/>
        <v>58.777429467084644</v>
      </c>
      <c r="E5" s="30">
        <f t="shared" si="1"/>
        <v>263</v>
      </c>
      <c r="F5" s="30">
        <f t="shared" si="2"/>
        <v>500</v>
      </c>
      <c r="G5" s="31" t="s">
        <v>80</v>
      </c>
      <c r="H5" s="23" t="s">
        <v>81</v>
      </c>
    </row>
    <row r="6" spans="1:8" ht="24" customHeight="1" x14ac:dyDescent="0.35">
      <c r="A6" s="2" t="s">
        <v>27</v>
      </c>
      <c r="B6" s="26">
        <v>545.70000000000005</v>
      </c>
      <c r="C6" s="26">
        <v>290</v>
      </c>
      <c r="D6" s="15">
        <f t="shared" si="0"/>
        <v>53.142752428074026</v>
      </c>
      <c r="E6" s="27">
        <f t="shared" si="1"/>
        <v>255.70000000000005</v>
      </c>
      <c r="F6" s="27">
        <f t="shared" si="2"/>
        <v>386.66666666666669</v>
      </c>
      <c r="G6" s="31" t="s">
        <v>80</v>
      </c>
      <c r="H6" s="18" t="s">
        <v>82</v>
      </c>
    </row>
    <row r="7" spans="1:8" ht="24" customHeight="1" x14ac:dyDescent="0.35">
      <c r="A7" s="6" t="s">
        <v>28</v>
      </c>
      <c r="B7" s="29">
        <v>508.3</v>
      </c>
      <c r="C7" s="29">
        <v>330</v>
      </c>
      <c r="D7" s="17">
        <f t="shared" si="0"/>
        <v>64.922289986228606</v>
      </c>
      <c r="E7" s="30">
        <f t="shared" si="1"/>
        <v>178.3</v>
      </c>
      <c r="F7" s="30">
        <f t="shared" si="2"/>
        <v>440</v>
      </c>
      <c r="G7" s="28" t="s">
        <v>78</v>
      </c>
      <c r="H7" s="23" t="s">
        <v>83</v>
      </c>
    </row>
    <row r="8" spans="1:8" ht="24" customHeight="1" x14ac:dyDescent="0.35">
      <c r="A8" s="2" t="s">
        <v>84</v>
      </c>
      <c r="B8" s="26">
        <v>430</v>
      </c>
      <c r="C8" s="26">
        <v>280</v>
      </c>
      <c r="D8" s="15">
        <f t="shared" si="0"/>
        <v>65.116279069767444</v>
      </c>
      <c r="E8" s="27">
        <f t="shared" si="1"/>
        <v>150</v>
      </c>
      <c r="F8" s="27">
        <f t="shared" si="2"/>
        <v>373.33333333333331</v>
      </c>
      <c r="G8" s="31" t="s">
        <v>80</v>
      </c>
      <c r="H8" s="18" t="s">
        <v>85</v>
      </c>
    </row>
    <row r="9" spans="1:8" ht="24" customHeight="1" x14ac:dyDescent="0.35">
      <c r="A9" s="6" t="s">
        <v>29</v>
      </c>
      <c r="B9" s="29">
        <v>195.4</v>
      </c>
      <c r="C9" s="29">
        <v>73.900000000000006</v>
      </c>
      <c r="D9" s="17">
        <f t="shared" si="0"/>
        <v>37.819856704196518</v>
      </c>
      <c r="E9" s="30">
        <f t="shared" si="1"/>
        <v>121.5</v>
      </c>
      <c r="F9" s="30">
        <f t="shared" si="2"/>
        <v>98.533333333333346</v>
      </c>
      <c r="G9" s="54" t="s">
        <v>86</v>
      </c>
      <c r="H9" s="23" t="s">
        <v>87</v>
      </c>
    </row>
    <row r="10" spans="1:8" ht="24" customHeight="1" x14ac:dyDescent="0.35">
      <c r="A10" s="2" t="s">
        <v>88</v>
      </c>
      <c r="B10" s="26">
        <v>195.4</v>
      </c>
      <c r="C10" s="26">
        <v>73.900000000000006</v>
      </c>
      <c r="D10" s="15">
        <f t="shared" si="0"/>
        <v>37.819856704196518</v>
      </c>
      <c r="E10" s="27">
        <f t="shared" si="1"/>
        <v>121.5</v>
      </c>
      <c r="F10" s="27">
        <f t="shared" si="2"/>
        <v>98.533333333333346</v>
      </c>
      <c r="G10" s="32" t="s">
        <v>86</v>
      </c>
      <c r="H10" s="18" t="s">
        <v>89</v>
      </c>
    </row>
    <row r="11" spans="1:8" ht="24" customHeight="1" x14ac:dyDescent="0.35">
      <c r="A11" s="6" t="s">
        <v>90</v>
      </c>
      <c r="B11" s="29">
        <v>200</v>
      </c>
      <c r="C11" s="29">
        <v>145</v>
      </c>
      <c r="D11" s="17">
        <f t="shared" si="0"/>
        <v>72.5</v>
      </c>
      <c r="E11" s="30">
        <f t="shared" si="1"/>
        <v>55</v>
      </c>
      <c r="F11" s="30">
        <f t="shared" si="2"/>
        <v>193.33333333333334</v>
      </c>
      <c r="G11" s="28" t="s">
        <v>78</v>
      </c>
      <c r="H11" s="23" t="s">
        <v>91</v>
      </c>
    </row>
    <row r="12" spans="1:8" ht="24" customHeight="1" x14ac:dyDescent="0.35">
      <c r="A12" s="2" t="s">
        <v>92</v>
      </c>
      <c r="B12" s="26">
        <v>180</v>
      </c>
      <c r="C12" s="26">
        <v>110</v>
      </c>
      <c r="D12" s="15">
        <f t="shared" si="0"/>
        <v>61.111111111111114</v>
      </c>
      <c r="E12" s="27">
        <f t="shared" si="1"/>
        <v>70</v>
      </c>
      <c r="F12" s="27">
        <f t="shared" si="2"/>
        <v>146.66666666666666</v>
      </c>
      <c r="G12" s="31" t="s">
        <v>80</v>
      </c>
      <c r="H12" s="18" t="s">
        <v>93</v>
      </c>
    </row>
    <row r="13" spans="1:8" ht="24" customHeight="1" x14ac:dyDescent="0.35">
      <c r="A13" s="6" t="s">
        <v>94</v>
      </c>
      <c r="B13" s="29">
        <v>148.19999999999999</v>
      </c>
      <c r="C13" s="29">
        <v>81.5</v>
      </c>
      <c r="D13" s="17">
        <f t="shared" si="0"/>
        <v>54.99325236167342</v>
      </c>
      <c r="E13" s="30">
        <f t="shared" si="1"/>
        <v>66.699999999999989</v>
      </c>
      <c r="F13" s="30">
        <f t="shared" si="2"/>
        <v>108.66666666666667</v>
      </c>
      <c r="G13" s="31" t="s">
        <v>80</v>
      </c>
      <c r="H13" s="23" t="s">
        <v>95</v>
      </c>
    </row>
    <row r="14" spans="1:8" ht="24" customHeight="1" x14ac:dyDescent="0.35">
      <c r="A14" s="2" t="s">
        <v>96</v>
      </c>
      <c r="B14" s="26">
        <v>147.19999999999999</v>
      </c>
      <c r="C14" s="26">
        <v>97.8</v>
      </c>
      <c r="D14" s="15">
        <f t="shared" si="0"/>
        <v>66.440217391304344</v>
      </c>
      <c r="E14" s="27">
        <f t="shared" si="1"/>
        <v>49.399999999999991</v>
      </c>
      <c r="F14" s="27">
        <f t="shared" si="2"/>
        <v>130.4</v>
      </c>
      <c r="G14" s="31" t="s">
        <v>80</v>
      </c>
      <c r="H14" s="18" t="s">
        <v>97</v>
      </c>
    </row>
    <row r="15" spans="1:8" ht="24" customHeight="1" x14ac:dyDescent="0.35">
      <c r="A15" s="6" t="s">
        <v>98</v>
      </c>
      <c r="B15" s="29">
        <v>260</v>
      </c>
      <c r="C15" s="29">
        <v>195</v>
      </c>
      <c r="D15" s="17">
        <f t="shared" si="0"/>
        <v>75</v>
      </c>
      <c r="E15" s="30">
        <f>B15-C15</f>
        <v>65</v>
      </c>
      <c r="F15" s="30">
        <f t="shared" si="2"/>
        <v>260</v>
      </c>
      <c r="G15" s="28" t="s">
        <v>78</v>
      </c>
      <c r="H15" s="23" t="s">
        <v>99</v>
      </c>
    </row>
    <row r="16" spans="1:8" ht="21.75" customHeight="1" x14ac:dyDescent="0.35">
      <c r="A16" s="13" t="s">
        <v>100</v>
      </c>
      <c r="B16" s="33">
        <f>SUM(B4:B15)</f>
        <v>6491.6999999999989</v>
      </c>
      <c r="C16" s="33">
        <f>SUM(C4:C15)</f>
        <v>4143.3</v>
      </c>
      <c r="D16" s="34">
        <f t="shared" si="0"/>
        <v>63.824575997042388</v>
      </c>
      <c r="E16" s="33">
        <f t="shared" si="1"/>
        <v>2348.3999999999987</v>
      </c>
      <c r="F16" s="33">
        <f t="shared" si="2"/>
        <v>5524.4000000000005</v>
      </c>
      <c r="G16" s="65"/>
      <c r="H16" s="65"/>
    </row>
    <row r="17" spans="1:8" ht="21" x14ac:dyDescent="0.5">
      <c r="A17" s="71" t="s">
        <v>109</v>
      </c>
      <c r="B17" s="71"/>
      <c r="C17" s="71"/>
      <c r="D17" s="71"/>
      <c r="E17" s="71"/>
      <c r="F17" s="71"/>
      <c r="G17" s="71"/>
      <c r="H17" s="71"/>
    </row>
    <row r="18" spans="1:8" x14ac:dyDescent="0.35">
      <c r="A18" s="70" t="s">
        <v>110</v>
      </c>
      <c r="B18" s="70"/>
      <c r="C18" s="70"/>
      <c r="D18" s="70"/>
      <c r="E18" s="70"/>
      <c r="F18" s="70"/>
      <c r="G18" s="70"/>
      <c r="H18" s="70"/>
    </row>
    <row r="19" spans="1:8" ht="29" x14ac:dyDescent="0.35">
      <c r="A19" s="43" t="s">
        <v>24</v>
      </c>
      <c r="B19" s="44" t="s">
        <v>71</v>
      </c>
      <c r="C19" s="44" t="s">
        <v>72</v>
      </c>
      <c r="D19" s="44" t="s">
        <v>73</v>
      </c>
      <c r="E19" s="44" t="s">
        <v>74</v>
      </c>
      <c r="F19" s="44" t="s">
        <v>75</v>
      </c>
      <c r="G19" s="43" t="s">
        <v>76</v>
      </c>
      <c r="H19" s="43" t="s">
        <v>77</v>
      </c>
    </row>
    <row r="20" spans="1:8" ht="20" customHeight="1" x14ac:dyDescent="0.35">
      <c r="A20" t="s">
        <v>25</v>
      </c>
      <c r="B20" s="46">
        <v>3187.1</v>
      </c>
      <c r="C20" s="46">
        <v>3007.3</v>
      </c>
      <c r="D20" s="47">
        <v>0.94399999999999995</v>
      </c>
      <c r="E20">
        <v>178.8</v>
      </c>
      <c r="F20" s="46">
        <v>3007.3</v>
      </c>
      <c r="G20" t="s">
        <v>78</v>
      </c>
      <c r="H20" t="s">
        <v>111</v>
      </c>
    </row>
    <row r="21" spans="1:8" ht="29" x14ac:dyDescent="0.35">
      <c r="A21" s="36" t="s">
        <v>26</v>
      </c>
      <c r="B21">
        <v>553.6</v>
      </c>
      <c r="C21">
        <v>492.9</v>
      </c>
      <c r="D21" s="47">
        <v>0.89</v>
      </c>
      <c r="E21">
        <v>60.7</v>
      </c>
      <c r="F21">
        <v>492.9</v>
      </c>
      <c r="G21" t="s">
        <v>78</v>
      </c>
      <c r="H21" t="s">
        <v>112</v>
      </c>
    </row>
    <row r="22" spans="1:8" ht="29" x14ac:dyDescent="0.35">
      <c r="A22" s="36" t="s">
        <v>27</v>
      </c>
      <c r="B22">
        <v>635.70000000000005</v>
      </c>
      <c r="C22">
        <v>563.4</v>
      </c>
      <c r="D22" s="47">
        <v>0.88600000000000001</v>
      </c>
      <c r="E22">
        <v>72.3</v>
      </c>
      <c r="F22">
        <v>563.4</v>
      </c>
      <c r="G22" t="s">
        <v>78</v>
      </c>
      <c r="H22" t="s">
        <v>113</v>
      </c>
    </row>
    <row r="23" spans="1:8" ht="29" x14ac:dyDescent="0.35">
      <c r="A23" s="36" t="s">
        <v>28</v>
      </c>
      <c r="B23">
        <v>654</v>
      </c>
      <c r="C23">
        <v>560</v>
      </c>
      <c r="D23" s="47">
        <v>0.85599999999999998</v>
      </c>
      <c r="E23">
        <v>94</v>
      </c>
      <c r="F23">
        <v>560</v>
      </c>
      <c r="G23" t="s">
        <v>78</v>
      </c>
      <c r="H23" s="36" t="s">
        <v>114</v>
      </c>
    </row>
    <row r="24" spans="1:8" x14ac:dyDescent="0.35">
      <c r="A24" s="36" t="s">
        <v>84</v>
      </c>
      <c r="B24">
        <v>857.9</v>
      </c>
      <c r="C24">
        <v>706.8</v>
      </c>
      <c r="D24" s="47">
        <v>0.82399999999999995</v>
      </c>
      <c r="E24">
        <v>151.1</v>
      </c>
      <c r="F24">
        <v>706.8</v>
      </c>
      <c r="G24" t="s">
        <v>80</v>
      </c>
      <c r="H24" t="s">
        <v>115</v>
      </c>
    </row>
    <row r="25" spans="1:8" x14ac:dyDescent="0.35">
      <c r="A25" s="36" t="s">
        <v>29</v>
      </c>
      <c r="B25">
        <v>215.4</v>
      </c>
      <c r="C25">
        <v>185.2</v>
      </c>
      <c r="D25" s="47">
        <v>0.86</v>
      </c>
      <c r="E25">
        <v>30.2</v>
      </c>
      <c r="F25">
        <v>185.2</v>
      </c>
      <c r="G25" t="s">
        <v>78</v>
      </c>
      <c r="H25" t="s">
        <v>116</v>
      </c>
    </row>
    <row r="26" spans="1:8" x14ac:dyDescent="0.35">
      <c r="A26" t="s">
        <v>88</v>
      </c>
      <c r="B26">
        <v>84.3</v>
      </c>
      <c r="C26">
        <v>62.1</v>
      </c>
      <c r="D26" s="47">
        <v>0.73699999999999999</v>
      </c>
      <c r="E26">
        <v>22.2</v>
      </c>
      <c r="F26">
        <v>62.1</v>
      </c>
      <c r="G26" t="s">
        <v>80</v>
      </c>
      <c r="H26" t="s">
        <v>117</v>
      </c>
    </row>
    <row r="27" spans="1:8" ht="29" x14ac:dyDescent="0.35">
      <c r="A27" s="36" t="s">
        <v>90</v>
      </c>
      <c r="B27">
        <v>272.39999999999998</v>
      </c>
      <c r="C27">
        <v>245.8</v>
      </c>
      <c r="D27" s="47">
        <v>0.90200000000000002</v>
      </c>
      <c r="E27">
        <v>26.6</v>
      </c>
      <c r="F27">
        <v>245.8</v>
      </c>
      <c r="G27" t="s">
        <v>78</v>
      </c>
      <c r="H27" t="s">
        <v>118</v>
      </c>
    </row>
    <row r="28" spans="1:8" x14ac:dyDescent="0.35">
      <c r="A28" s="36" t="s">
        <v>92</v>
      </c>
      <c r="B28">
        <v>151.1</v>
      </c>
      <c r="C28">
        <v>128.6</v>
      </c>
      <c r="D28" s="47">
        <v>0.82899999999999996</v>
      </c>
      <c r="E28">
        <v>26.5</v>
      </c>
      <c r="F28">
        <v>128.6</v>
      </c>
      <c r="G28" t="s">
        <v>80</v>
      </c>
      <c r="H28" t="s">
        <v>119</v>
      </c>
    </row>
    <row r="29" spans="1:8" x14ac:dyDescent="0.35">
      <c r="A29" s="36" t="s">
        <v>94</v>
      </c>
      <c r="B29">
        <v>112.6</v>
      </c>
      <c r="C29">
        <v>95.1</v>
      </c>
      <c r="D29" s="47">
        <v>0.84499999999999997</v>
      </c>
      <c r="E29">
        <v>17.5</v>
      </c>
      <c r="F29">
        <v>95.1</v>
      </c>
      <c r="G29" t="s">
        <v>80</v>
      </c>
      <c r="H29" t="s">
        <v>120</v>
      </c>
    </row>
    <row r="30" spans="1:8" x14ac:dyDescent="0.35">
      <c r="A30" s="36" t="s">
        <v>96</v>
      </c>
      <c r="B30">
        <v>165.2</v>
      </c>
      <c r="C30">
        <v>160.1</v>
      </c>
      <c r="D30" s="47">
        <v>0.96899999999999997</v>
      </c>
      <c r="E30">
        <v>5.0999999999999996</v>
      </c>
      <c r="F30">
        <v>160.1</v>
      </c>
      <c r="G30" t="s">
        <v>78</v>
      </c>
      <c r="H30" t="s">
        <v>121</v>
      </c>
    </row>
    <row r="31" spans="1:8" x14ac:dyDescent="0.35">
      <c r="A31" t="s">
        <v>98</v>
      </c>
      <c r="B31">
        <v>803.3</v>
      </c>
      <c r="C31">
        <v>743</v>
      </c>
      <c r="D31" s="47">
        <v>0.92500000000000004</v>
      </c>
      <c r="E31">
        <v>60.3</v>
      </c>
      <c r="F31">
        <v>743</v>
      </c>
      <c r="G31" t="s">
        <v>78</v>
      </c>
      <c r="H31" t="s">
        <v>122</v>
      </c>
    </row>
    <row r="32" spans="1:8" x14ac:dyDescent="0.35">
      <c r="A32" s="45" t="s">
        <v>100</v>
      </c>
      <c r="B32" s="48">
        <v>8160</v>
      </c>
      <c r="C32" s="49">
        <v>6840</v>
      </c>
      <c r="D32" s="50">
        <v>0.83799999999999997</v>
      </c>
      <c r="E32" s="48">
        <v>1320</v>
      </c>
      <c r="F32" s="48">
        <v>6840</v>
      </c>
      <c r="G32" s="45" t="s">
        <v>78</v>
      </c>
      <c r="H32" s="45"/>
    </row>
    <row r="33" spans="1:8" ht="21" x14ac:dyDescent="0.5">
      <c r="A33" s="66" t="s">
        <v>101</v>
      </c>
      <c r="B33" s="67"/>
      <c r="C33" s="67"/>
      <c r="D33" s="67"/>
      <c r="E33" s="67"/>
      <c r="F33" s="67"/>
      <c r="G33" s="67"/>
      <c r="H33" s="67"/>
    </row>
    <row r="34" spans="1:8" x14ac:dyDescent="0.35">
      <c r="A34" s="68" t="s">
        <v>124</v>
      </c>
      <c r="B34" s="69"/>
      <c r="C34" s="69"/>
      <c r="D34" s="69"/>
      <c r="E34" s="69"/>
      <c r="F34" s="69"/>
      <c r="G34" s="69"/>
      <c r="H34" s="69"/>
    </row>
    <row r="35" spans="1:8" ht="29" x14ac:dyDescent="0.35">
      <c r="A35" s="44" t="s">
        <v>102</v>
      </c>
      <c r="B35" s="44" t="s">
        <v>71</v>
      </c>
      <c r="C35" s="44" t="s">
        <v>72</v>
      </c>
      <c r="D35" s="44" t="s">
        <v>73</v>
      </c>
      <c r="E35" s="44" t="s">
        <v>74</v>
      </c>
      <c r="F35" s="44" t="s">
        <v>75</v>
      </c>
      <c r="G35" s="43" t="s">
        <v>76</v>
      </c>
      <c r="H35" s="44" t="s">
        <v>77</v>
      </c>
    </row>
    <row r="36" spans="1:8" x14ac:dyDescent="0.35">
      <c r="A36" s="36" t="s">
        <v>103</v>
      </c>
      <c r="B36">
        <v>3497.7</v>
      </c>
      <c r="C36">
        <v>3325.9</v>
      </c>
      <c r="D36" s="47">
        <v>0.95099999999999996</v>
      </c>
      <c r="E36">
        <v>171.8</v>
      </c>
      <c r="F36" t="s">
        <v>125</v>
      </c>
      <c r="G36" t="s">
        <v>78</v>
      </c>
      <c r="H36" t="s">
        <v>126</v>
      </c>
    </row>
    <row r="37" spans="1:8" ht="29" x14ac:dyDescent="0.35">
      <c r="A37" s="41" t="s">
        <v>104</v>
      </c>
      <c r="B37" s="39">
        <v>620.9</v>
      </c>
      <c r="C37">
        <v>565.6</v>
      </c>
      <c r="D37" s="47">
        <v>0.91100000000000003</v>
      </c>
      <c r="E37">
        <v>55.3</v>
      </c>
      <c r="F37">
        <v>565.6</v>
      </c>
      <c r="G37" t="s">
        <v>78</v>
      </c>
      <c r="H37" t="s">
        <v>127</v>
      </c>
    </row>
    <row r="38" spans="1:8" ht="29" x14ac:dyDescent="0.35">
      <c r="A38" s="36" t="s">
        <v>105</v>
      </c>
      <c r="B38">
        <v>839.3</v>
      </c>
      <c r="C38">
        <v>656.7</v>
      </c>
      <c r="D38" s="47">
        <v>0.78200000000000003</v>
      </c>
      <c r="E38">
        <v>182.6</v>
      </c>
      <c r="F38">
        <v>656.7</v>
      </c>
      <c r="G38" t="s">
        <v>80</v>
      </c>
      <c r="H38" s="36" t="s">
        <v>128</v>
      </c>
    </row>
    <row r="39" spans="1:8" ht="29" x14ac:dyDescent="0.35">
      <c r="A39" s="36" t="s">
        <v>28</v>
      </c>
      <c r="B39">
        <v>797.2</v>
      </c>
      <c r="C39">
        <v>706.1</v>
      </c>
      <c r="D39" s="47">
        <v>0.88600000000000001</v>
      </c>
      <c r="E39" s="47">
        <v>0.91100000000000003</v>
      </c>
      <c r="F39">
        <v>706.1</v>
      </c>
      <c r="G39" t="s">
        <v>78</v>
      </c>
      <c r="H39" t="s">
        <v>129</v>
      </c>
    </row>
    <row r="40" spans="1:8" x14ac:dyDescent="0.35">
      <c r="A40" s="36" t="s">
        <v>84</v>
      </c>
      <c r="B40">
        <v>967.1</v>
      </c>
      <c r="C40">
        <v>855.6</v>
      </c>
      <c r="D40" s="47">
        <v>0.88500000000000001</v>
      </c>
      <c r="E40">
        <v>111.5</v>
      </c>
      <c r="F40">
        <v>855.6</v>
      </c>
      <c r="G40" t="s">
        <v>78</v>
      </c>
      <c r="H40" t="s">
        <v>130</v>
      </c>
    </row>
    <row r="41" spans="1:8" x14ac:dyDescent="0.35">
      <c r="A41" s="36" t="s">
        <v>29</v>
      </c>
      <c r="B41">
        <v>370.8</v>
      </c>
      <c r="C41">
        <v>313.7</v>
      </c>
      <c r="D41" s="47">
        <v>0.84599999999999997</v>
      </c>
      <c r="E41">
        <v>57.1</v>
      </c>
      <c r="F41">
        <v>313.7</v>
      </c>
      <c r="G41" t="s">
        <v>80</v>
      </c>
      <c r="H41" t="s">
        <v>131</v>
      </c>
    </row>
    <row r="42" spans="1:8" x14ac:dyDescent="0.35">
      <c r="A42" s="36" t="s">
        <v>88</v>
      </c>
      <c r="B42">
        <v>96.2</v>
      </c>
      <c r="C42">
        <v>58.1</v>
      </c>
      <c r="D42" s="47">
        <v>0.60399999999999998</v>
      </c>
      <c r="E42">
        <v>38.1</v>
      </c>
      <c r="F42">
        <v>58.1</v>
      </c>
      <c r="G42" t="s">
        <v>86</v>
      </c>
      <c r="H42" t="s">
        <v>132</v>
      </c>
    </row>
    <row r="43" spans="1:8" ht="29" x14ac:dyDescent="0.35">
      <c r="A43" s="36" t="s">
        <v>90</v>
      </c>
      <c r="B43">
        <v>312.89999999999998</v>
      </c>
      <c r="C43">
        <v>309.39999999999998</v>
      </c>
      <c r="D43" s="47">
        <v>0.98899999999999999</v>
      </c>
      <c r="E43">
        <v>3.5</v>
      </c>
      <c r="F43">
        <v>309.39999999999998</v>
      </c>
      <c r="G43" t="s">
        <v>78</v>
      </c>
      <c r="H43" t="s">
        <v>133</v>
      </c>
    </row>
    <row r="44" spans="1:8" x14ac:dyDescent="0.35">
      <c r="A44" s="36" t="s">
        <v>92</v>
      </c>
      <c r="B44">
        <v>180</v>
      </c>
      <c r="C44">
        <v>110</v>
      </c>
      <c r="D44" s="47">
        <v>0.61099999999999999</v>
      </c>
      <c r="E44">
        <v>70</v>
      </c>
      <c r="F44">
        <v>110</v>
      </c>
      <c r="G44" t="s">
        <v>86</v>
      </c>
      <c r="H44" t="s">
        <v>134</v>
      </c>
    </row>
    <row r="45" spans="1:8" x14ac:dyDescent="0.35">
      <c r="A45" s="36" t="s">
        <v>94</v>
      </c>
      <c r="B45">
        <v>112.6</v>
      </c>
      <c r="C45">
        <v>95.1</v>
      </c>
      <c r="D45" s="47">
        <v>0.84499999999999997</v>
      </c>
      <c r="E45">
        <v>17.5</v>
      </c>
      <c r="F45">
        <v>95.1</v>
      </c>
      <c r="G45" t="s">
        <v>80</v>
      </c>
      <c r="H45" t="s">
        <v>135</v>
      </c>
    </row>
    <row r="46" spans="1:8" x14ac:dyDescent="0.35">
      <c r="A46" s="36" t="s">
        <v>96</v>
      </c>
      <c r="B46">
        <v>216.7</v>
      </c>
      <c r="C46">
        <v>215.5</v>
      </c>
      <c r="D46" s="47">
        <v>0.995</v>
      </c>
      <c r="E46">
        <v>1.2</v>
      </c>
      <c r="F46">
        <v>215.5</v>
      </c>
      <c r="G46" t="s">
        <v>78</v>
      </c>
      <c r="H46" t="s">
        <v>136</v>
      </c>
    </row>
    <row r="47" spans="1:8" x14ac:dyDescent="0.35">
      <c r="A47" s="36" t="s">
        <v>98</v>
      </c>
      <c r="B47">
        <v>896.2</v>
      </c>
      <c r="C47">
        <v>881.4</v>
      </c>
      <c r="D47" s="47">
        <v>0.98399999999999999</v>
      </c>
      <c r="E47">
        <v>14.8</v>
      </c>
      <c r="F47">
        <v>881.4</v>
      </c>
      <c r="G47" t="s">
        <v>78</v>
      </c>
      <c r="H47" t="s">
        <v>137</v>
      </c>
    </row>
    <row r="48" spans="1:8" x14ac:dyDescent="0.35">
      <c r="A48" s="51" t="s">
        <v>106</v>
      </c>
      <c r="B48" s="49">
        <v>8900</v>
      </c>
      <c r="C48" s="49">
        <v>7870</v>
      </c>
      <c r="D48" s="50">
        <v>0.88400000000000001</v>
      </c>
      <c r="E48" s="49">
        <v>1030</v>
      </c>
      <c r="F48" s="45">
        <v>7870</v>
      </c>
      <c r="G48" s="45" t="s">
        <v>78</v>
      </c>
      <c r="H48" s="45"/>
    </row>
    <row r="49" spans="1:8" ht="21" x14ac:dyDescent="0.5">
      <c r="A49" s="61" t="s">
        <v>138</v>
      </c>
      <c r="B49" s="62"/>
      <c r="C49" s="62"/>
      <c r="D49" s="62"/>
      <c r="E49" s="62"/>
      <c r="F49" s="62"/>
      <c r="G49" s="62"/>
      <c r="H49" s="62"/>
    </row>
    <row r="50" spans="1:8" x14ac:dyDescent="0.35">
      <c r="A50" s="62" t="s">
        <v>107</v>
      </c>
      <c r="B50" s="62"/>
      <c r="C50" s="62"/>
      <c r="D50" s="62"/>
      <c r="E50" s="62"/>
      <c r="F50" s="62"/>
      <c r="G50" s="62"/>
      <c r="H50" s="62"/>
    </row>
    <row r="51" spans="1:8" ht="29" x14ac:dyDescent="0.35">
      <c r="A51" s="38" t="s">
        <v>24</v>
      </c>
      <c r="B51" s="38" t="s">
        <v>71</v>
      </c>
      <c r="C51" s="38" t="s">
        <v>72</v>
      </c>
      <c r="D51" s="38" t="s">
        <v>73</v>
      </c>
      <c r="E51" s="38" t="s">
        <v>74</v>
      </c>
      <c r="F51" s="38" t="s">
        <v>75</v>
      </c>
      <c r="G51" s="38" t="s">
        <v>76</v>
      </c>
      <c r="H51" s="38" t="s">
        <v>77</v>
      </c>
    </row>
    <row r="52" spans="1:8" ht="29" x14ac:dyDescent="0.35">
      <c r="A52" s="36" t="s">
        <v>25</v>
      </c>
      <c r="B52" s="46">
        <v>3043.5</v>
      </c>
      <c r="C52">
        <v>344.1</v>
      </c>
      <c r="D52" s="47">
        <v>0.113</v>
      </c>
      <c r="E52">
        <v>2699.4</v>
      </c>
      <c r="F52">
        <v>1376.4</v>
      </c>
      <c r="G52" t="s">
        <v>86</v>
      </c>
      <c r="H52" s="36" t="s">
        <v>139</v>
      </c>
    </row>
    <row r="53" spans="1:8" ht="29" x14ac:dyDescent="0.35">
      <c r="A53" s="36" t="s">
        <v>26</v>
      </c>
      <c r="B53">
        <v>597.4</v>
      </c>
      <c r="C53">
        <v>431.2</v>
      </c>
      <c r="D53" s="47">
        <v>0.74399999999999999</v>
      </c>
      <c r="E53">
        <v>148.19999999999999</v>
      </c>
      <c r="F53">
        <v>1724.8</v>
      </c>
      <c r="G53" t="s">
        <v>78</v>
      </c>
      <c r="H53" t="s">
        <v>140</v>
      </c>
    </row>
    <row r="54" spans="1:8" ht="29" x14ac:dyDescent="0.35">
      <c r="A54" s="36" t="s">
        <v>108</v>
      </c>
      <c r="B54">
        <v>545.70000000000005</v>
      </c>
      <c r="C54">
        <v>290</v>
      </c>
      <c r="D54" s="47">
        <v>0.53100000000000003</v>
      </c>
      <c r="E54">
        <v>255.7</v>
      </c>
      <c r="F54">
        <v>1160</v>
      </c>
      <c r="G54" t="s">
        <v>80</v>
      </c>
      <c r="H54" t="s">
        <v>141</v>
      </c>
    </row>
    <row r="55" spans="1:8" ht="29" x14ac:dyDescent="0.35">
      <c r="A55" s="36" t="s">
        <v>28</v>
      </c>
      <c r="B55">
        <v>508.3</v>
      </c>
      <c r="C55">
        <v>330</v>
      </c>
      <c r="D55" s="47">
        <v>0.64900000000000002</v>
      </c>
      <c r="E55">
        <v>178.3</v>
      </c>
      <c r="F55">
        <v>1320</v>
      </c>
      <c r="G55" t="s">
        <v>78</v>
      </c>
      <c r="H55" t="s">
        <v>142</v>
      </c>
    </row>
    <row r="56" spans="1:8" x14ac:dyDescent="0.35">
      <c r="A56" s="36" t="s">
        <v>84</v>
      </c>
      <c r="B56">
        <v>430</v>
      </c>
      <c r="C56">
        <v>280</v>
      </c>
      <c r="D56" s="47">
        <v>0.65099999999999991</v>
      </c>
      <c r="E56">
        <v>150</v>
      </c>
      <c r="F56">
        <v>1120</v>
      </c>
      <c r="G56" t="s">
        <v>80</v>
      </c>
      <c r="H56" t="s">
        <v>85</v>
      </c>
    </row>
    <row r="57" spans="1:8" ht="29" x14ac:dyDescent="0.35">
      <c r="A57" s="36" t="s">
        <v>29</v>
      </c>
      <c r="B57">
        <v>195.4</v>
      </c>
      <c r="C57">
        <v>73.900000000000006</v>
      </c>
      <c r="D57" s="47">
        <v>0.378</v>
      </c>
      <c r="E57">
        <v>121.5</v>
      </c>
      <c r="F57">
        <v>295.60000000000002</v>
      </c>
      <c r="G57" t="s">
        <v>86</v>
      </c>
      <c r="H57" s="36" t="s">
        <v>143</v>
      </c>
    </row>
    <row r="58" spans="1:8" x14ac:dyDescent="0.35">
      <c r="A58" s="36" t="s">
        <v>88</v>
      </c>
      <c r="B58">
        <v>195.4</v>
      </c>
      <c r="C58">
        <v>73.900000000000006</v>
      </c>
      <c r="D58" s="47">
        <v>0.378</v>
      </c>
      <c r="E58">
        <v>121.5</v>
      </c>
      <c r="F58">
        <v>295.60000000000002</v>
      </c>
      <c r="G58" t="s">
        <v>86</v>
      </c>
      <c r="H58" t="s">
        <v>144</v>
      </c>
    </row>
    <row r="59" spans="1:8" ht="29" x14ac:dyDescent="0.35">
      <c r="A59" s="36" t="s">
        <v>90</v>
      </c>
      <c r="B59">
        <v>200</v>
      </c>
      <c r="C59">
        <v>145</v>
      </c>
      <c r="D59" s="47">
        <v>0.72499999999999998</v>
      </c>
      <c r="E59">
        <v>55</v>
      </c>
      <c r="F59">
        <v>580</v>
      </c>
      <c r="G59" t="s">
        <v>78</v>
      </c>
      <c r="H59" t="s">
        <v>145</v>
      </c>
    </row>
    <row r="60" spans="1:8" ht="29" x14ac:dyDescent="0.35">
      <c r="A60" s="36" t="s">
        <v>92</v>
      </c>
      <c r="B60">
        <v>180</v>
      </c>
      <c r="C60">
        <v>110</v>
      </c>
      <c r="D60" s="47">
        <v>0.61099999999999999</v>
      </c>
      <c r="E60">
        <v>70</v>
      </c>
      <c r="F60">
        <v>440</v>
      </c>
      <c r="G60" t="s">
        <v>80</v>
      </c>
      <c r="H60" s="36" t="s">
        <v>93</v>
      </c>
    </row>
    <row r="61" spans="1:8" x14ac:dyDescent="0.35">
      <c r="A61" s="36" t="s">
        <v>94</v>
      </c>
      <c r="B61">
        <v>531.1</v>
      </c>
      <c r="C61">
        <v>106.3</v>
      </c>
      <c r="D61" s="47">
        <v>0.2</v>
      </c>
      <c r="E61">
        <v>424.8</v>
      </c>
      <c r="F61">
        <v>425.2</v>
      </c>
      <c r="G61" t="s">
        <v>86</v>
      </c>
      <c r="H61" t="s">
        <v>146</v>
      </c>
    </row>
    <row r="62" spans="1:8" ht="29" x14ac:dyDescent="0.35">
      <c r="A62" s="36" t="s">
        <v>96</v>
      </c>
      <c r="B62">
        <v>1427.5</v>
      </c>
      <c r="C62">
        <v>325.3</v>
      </c>
      <c r="D62" s="47">
        <v>0.22800000000000001</v>
      </c>
      <c r="E62" s="53">
        <v>11.022</v>
      </c>
      <c r="F62">
        <v>1301.2</v>
      </c>
      <c r="G62" t="s">
        <v>86</v>
      </c>
      <c r="H62" s="36" t="s">
        <v>147</v>
      </c>
    </row>
    <row r="63" spans="1:8" x14ac:dyDescent="0.35">
      <c r="A63" s="36" t="s">
        <v>148</v>
      </c>
      <c r="B63">
        <v>878.6</v>
      </c>
      <c r="C63">
        <v>100.1</v>
      </c>
      <c r="D63" s="47">
        <v>0.114</v>
      </c>
      <c r="E63" s="53">
        <v>778.5</v>
      </c>
      <c r="F63">
        <v>400.4</v>
      </c>
      <c r="G63" t="s">
        <v>78</v>
      </c>
      <c r="H63" t="s">
        <v>149</v>
      </c>
    </row>
    <row r="64" spans="1:8" x14ac:dyDescent="0.35">
      <c r="A64" s="51" t="s">
        <v>106</v>
      </c>
      <c r="B64" s="49">
        <v>9200</v>
      </c>
      <c r="C64" s="35">
        <v>1288</v>
      </c>
      <c r="D64" s="52">
        <v>0.14000000000000001</v>
      </c>
      <c r="E64" s="45">
        <v>7912</v>
      </c>
      <c r="F64" s="45">
        <v>5152</v>
      </c>
      <c r="G64" s="45" t="s">
        <v>78</v>
      </c>
      <c r="H64" s="45"/>
    </row>
  </sheetData>
  <mergeCells count="9">
    <mergeCell ref="A49:H49"/>
    <mergeCell ref="A50:H50"/>
    <mergeCell ref="A1:H1"/>
    <mergeCell ref="A2:H2"/>
    <mergeCell ref="G16:H16"/>
    <mergeCell ref="A33:H33"/>
    <mergeCell ref="A34:H34"/>
    <mergeCell ref="A18:H18"/>
    <mergeCell ref="A17:H17"/>
  </mergeCells>
  <phoneticPr fontId="18"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Governor &amp; County Overview</vt:lpstr>
      <vt:lpstr>OAG Audit Findings</vt:lpstr>
      <vt:lpstr>Dept Spending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Margaret Njeri</cp:lastModifiedBy>
  <cp:revision>0</cp:revision>
  <dcterms:created xsi:type="dcterms:W3CDTF">2026-03-25T07:00:18Z</dcterms:created>
  <dcterms:modified xsi:type="dcterms:W3CDTF">2026-04-02T12:35:48Z</dcterms:modified>
  <dc:language>en-US</dc:language>
</cp:coreProperties>
</file>