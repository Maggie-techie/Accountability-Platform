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Audit Findings Detail" sheetId="2" r:id="rId5"/>
    <sheet state="visible" name="Allocation By FY" sheetId="3" r:id="rId6"/>
  </sheets>
  <definedNames/>
  <calcPr/>
  <extLst>
    <ext uri="GoogleSheetsCustomDataVersion2">
      <go:sheetsCustomData xmlns:go="http://customooxmlschemas.google.com/" r:id="rId7" roundtripDataChecksum="BMeEmB09eho/tXznJ+4I2rb9CCcyth1KMYppg82lqFY="/>
    </ext>
  </extLst>
</workbook>
</file>

<file path=xl/sharedStrings.xml><?xml version="1.0" encoding="utf-8"?>
<sst xmlns="http://schemas.openxmlformats.org/spreadsheetml/2006/main" count="104" uniqueCount="73">
  <si>
    <t>NYERI COUNTY – NG-CDF FUND TRACKER  |  2022–2027 Parliamentary Tenure</t>
  </si>
  <si>
    <t>Source: NG-CDF Board, Office of the Auditor-General (OAG), Bunge Library  |  Amounts in KSh Millions</t>
  </si>
  <si>
    <t>Constituency</t>
  </si>
  <si>
    <t xml:space="preserve">MP </t>
  </si>
  <si>
    <t xml:space="preserve">FY 2022/23 </t>
  </si>
  <si>
    <t>FY 2023/24 (KSh M)</t>
  </si>
  <si>
    <t>FY 2024/25 (KSh M)</t>
  </si>
  <si>
    <t>FY 2025/26 (KSh M)</t>
  </si>
  <si>
    <t>Total Allocation (KSh M)</t>
  </si>
  <si>
    <t>Audit Status</t>
  </si>
  <si>
    <t>Tetu</t>
  </si>
  <si>
    <t>Hon. Geoffrey Wandeto (UDA)</t>
  </si>
  <si>
    <t>Adverse</t>
  </si>
  <si>
    <t>Kieni</t>
  </si>
  <si>
    <t>Hon. Njoroge Wainaina 'Cieni' (UDA)</t>
  </si>
  <si>
    <t>Qualified</t>
  </si>
  <si>
    <t>Mathira</t>
  </si>
  <si>
    <t>Hon. Eric Mwangi Wamumbi (UDA)</t>
  </si>
  <si>
    <t>Othaya</t>
  </si>
  <si>
    <t>Hon. Michael Wambugu Wainaina (UDA)</t>
  </si>
  <si>
    <t>Mukurweini</t>
  </si>
  <si>
    <t>Hon. John Kaguchia (UDA)</t>
  </si>
  <si>
    <t>Unqualified*</t>
  </si>
  <si>
    <t>Nyeri Town</t>
  </si>
  <si>
    <t>Hon. Duncan Mathenge Maina (UDA)</t>
  </si>
  <si>
    <t>COUNTY TOTAL</t>
  </si>
  <si>
    <t>LEGEND</t>
  </si>
  <si>
    <t>OAG found significant irregularities; unable to express an opinion</t>
  </si>
  <si>
    <t>Some issues flagged; generally compliant with minor exceptions</t>
  </si>
  <si>
    <t>Clean opinion issued; all expenditures supported  (* limited data)</t>
  </si>
  <si>
    <t>Blue figures</t>
  </si>
  <si>
    <t>Hardcoded allocations from NG-CDF Board gazettes</t>
  </si>
  <si>
    <t>NYERI COUNTY NG-CDF – AUDITOR GENERAL FINDINGS DETAIL  |  2022–2027 Tenure</t>
  </si>
  <si>
    <t>Source: Office of the Auditor-General (OAG) Reports – NG-CDF Constituency Accounts  |  Bunge Library Parliament IR</t>
  </si>
  <si>
    <t>MP</t>
  </si>
  <si>
    <t>FY Reviewed</t>
  </si>
  <si>
    <t>Amount at Risk
(KSh M)</t>
  </si>
  <si>
    <t>MISAPPROPRIATIONS / ADVERSE FINDINGS</t>
  </si>
  <si>
    <t>CORRECT APPROPRIATIONS / COMMENDATIONS</t>
  </si>
  <si>
    <t>FY2022/23 – FY2023/24</t>
  </si>
  <si>
    <t>~12.0</t>
  </si>
  <si>
    <t>• Nyaithe Primary: Ksh 1M disbursed for 8 classroom renovations; only front-wall surfaces renovated on physical inspection – incomplete works.
• Kiawaithanji Primary: Ksh 1M for 8 classrooms; only 4 completed at time of audit; no remediation plan on record.
• OAG unable to confirm project completion for 3 secondary school infrastructure items worth ~Ksh 6M.
• Bursary register discrepancies: 14 beneficiaries listed but cheques not traced to recipients.
• Bank reconciliations not prepared for Q3 FY2023/24.
• Overall opinion: ADVERSE – significant unsupported expenditures.</t>
  </si>
  <si>
    <t>• Bursary disbursements to primary level (Form 1–4) largely traceable and on schedule for FY2022/23.
• Security lighting project at Tetu Girls completed within budget.
• Procurement records for small works (below Ksh 500K threshold) maintained correctly.</t>
  </si>
  <si>
    <t>FY2022/23 – FY2024/25</t>
  </si>
  <si>
    <t>~9.5</t>
  </si>
  <si>
    <t>• Endarasha Boys: Ksh 2.1M for laboratory renovation; works stalled after contractor abandoned site – no performance bond called.
• 2 road-access projects (murram) worth Ksh 4.5M: OAG noted no engineer's certificate on file for acceptance.
• Stale cheques totalling ~Ksh 1.2M not cancelled within the statutory 6-month window.
• Unsupported imprest surrenders worth Ksh 780K.
• Overall opinion: QUALIFIED – material but not pervasive issues.</t>
  </si>
  <si>
    <t>• Bursary fund fully disbursed within the fiscal year with proper acknowledgement forms for FY2023/24.
• Kieni has the highest allocation in Nyeri County; absorption rate was 91% in FY2024/25 – above national average.
• Gatarakwa water harvesting project completed and commissioned; community acceptance letter on file.</t>
  </si>
  <si>
    <t>~7.2</t>
  </si>
  <si>
    <t>• Karatina High School kitchen block: Ksh 1.8M; structural works found substandard on inspection (thin wall plaster, no DPC layer).
• Procurement records for Ksh 2.9M worth of projects missing from file – possible single-sourcing without board approval.
• OAG flagged payments to a supplier appearing twice on vendor register under slightly different names.
• Overall opinion: QUALIFIED.</t>
  </si>
  <si>
    <t>• Mathira achieved 100% UDA MCA sweep – political cohesion aided faster ward-level project alignment.
• Konyu Ward ECD centre (Ksh 1.6M) completed on schedule and handed over to Ministry of Education.
• Bursary disbursements for FY2022/23 confirmed with signed registers at 6 secondary schools.</t>
  </si>
  <si>
    <t>~11.0</t>
  </si>
  <si>
    <t>• OAG queried Ksh 20M allocated to secondary and tertiary colleges – CDF committee could not provide methodology for identifying beneficiaries.
• Ksh 3.2M disbursed for Iria-Ini VTC workshop; construction halted; no penalty clause invoked against contractor.
• 3 projects marked 'completed' in internal reports but not verified on physical inspection by OAG.
• Imprest of Ksh 450K outstanding beyond 30-day limit.
• Overall opinion: QUALIFIED.</t>
  </si>
  <si>
    <t>• Water tank installations at 4 primary schools (Mahiga area) completed and functional – OAG confirmed.
• Bursary fund (FY2023/24) released within first quarter; distribution list matched payment vouchers.
• Fixed asset register updated and reconciled for FY2022/23 – commended by OAG.</t>
  </si>
  <si>
    <t>~3.0</t>
  </si>
  <si>
    <t>• Minor issues: delayed procurement of classroom furniture (Ksh 1.1M order placed but undelivered by FY-end).
• Imprest surrender delays noted for 2 officers in Q4 FY2022/23.
• Note: Full FY2024/25 individual audit report not yet publicly released; findings above from FY2022/23 interim review.</t>
  </si>
  <si>
    <t>• Overall opinion: UNQUALIFIED (clean) for FY2022/23 – only the second constituency in Nyeri to receive a clean opinion.
• Rugi Ward new ablution block at primary school: completed on time, within budget, and fully equipped.
• Absorption rate: 94% of allocation utilised – highest in Nyeri County for FY2022/23.
• Bursary register audited clean; all cheques cashed within 90 days of issuance.</t>
  </si>
  <si>
    <t>~8.5</t>
  </si>
  <si>
    <t>• 3 school lab projects (Nyeri High feeder schools) worth Ksh 3.9M: OAG found bill of quantities not signed by a registered engineer.
• Procurement committee quorum not attained for 2 large contracts (above Ksh 1M); retrospective approvals noted.
• Ksh 2.1M bursary cheques: 11 cheques not yet presented after 6 months – possible ghost beneficiaries.
• Overall opinion: QUALIFIED.</t>
  </si>
  <si>
    <t>• Kiganjo primary ECD block (Ksh 1.5M): completed, inspected, and accepted by MoE.
• Internal audit function active and reports submitted quarterly – commended by OAG.
• Nyeri Town has an urban constituency profile; non-bursary project variety (streetlighting, ECD) praised for responsiveness.</t>
  </si>
  <si>
    <t>NYERI COUNTY – NG-CDF ALLOCATION BY FINANCIAL YEAR  (KSh Millions)</t>
  </si>
  <si>
    <t>FY 2022/23</t>
  </si>
  <si>
    <t>FY 2023/24</t>
  </si>
  <si>
    <t>FY 2024/25</t>
  </si>
  <si>
    <t>FY 2025/26</t>
  </si>
  <si>
    <t>4-Year Total</t>
  </si>
  <si>
    <t>Hon. Geoffrey Wandeto</t>
  </si>
  <si>
    <t>Hon. Njoroge Wainaina 'Cieni'</t>
  </si>
  <si>
    <t>Hon. Eric Mwangi Wamumbi</t>
  </si>
  <si>
    <t>Hon. Michael Wambugu Wainaina</t>
  </si>
  <si>
    <t>Hon. John Kaguchia</t>
  </si>
  <si>
    <t>Hon. Duncan Mathenge Maina</t>
  </si>
  <si>
    <t>TOTAL</t>
  </si>
  <si>
    <t>NOTE: FY 2023/24 figures are estimates interpolated from gazette trends. FY 2024/25 and FY 2025/26 confirmed from NG-CDF Board public notices. Allocations are formula-based on registered voter population. Kieni's higher allocation reflects its larger registered voter base.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</si>
</sst>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6">
    <font>
      <sz val="11.0"/>
      <color rgb="FF000000"/>
      <name val="Calibri"/>
      <scheme val="minor"/>
    </font>
    <font>
      <b/>
      <sz val="14.0"/>
      <color rgb="FFFFFFFF"/>
      <name val="Arial"/>
    </font>
    <font/>
    <font>
      <i/>
      <sz val="9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10.0"/>
      <color rgb="FFC0392B"/>
      <name val="Arial"/>
    </font>
    <font>
      <b/>
      <sz val="10.0"/>
      <color rgb="FF7D5A00"/>
      <name val="Arial"/>
    </font>
    <font>
      <b/>
      <sz val="10.0"/>
      <color rgb="FF1A6B3A"/>
      <name val="Arial"/>
    </font>
    <font>
      <b/>
      <sz val="10.0"/>
      <color rgb="FF0000FF"/>
      <name val="Arial"/>
    </font>
    <font>
      <b/>
      <sz val="13.0"/>
      <color rgb="FFFFFFFF"/>
      <name val="Arial"/>
    </font>
    <font>
      <sz val="10.0"/>
      <color rgb="FFC0392B"/>
      <name val="Arial"/>
    </font>
    <font>
      <sz val="10.0"/>
      <color rgb="FF1A6B3A"/>
      <name val="Arial"/>
    </font>
    <font>
      <i/>
      <sz val="9.0"/>
      <color rgb="FF55555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4731"/>
        <bgColor rgb="FF1A4731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D8F3DC"/>
        <bgColor rgb="FFD8F3DC"/>
      </patternFill>
    </fill>
    <fill>
      <patternFill patternType="solid">
        <fgColor rgb="FFFFF3CD"/>
        <bgColor rgb="FFFFF3CD"/>
      </patternFill>
    </fill>
    <fill>
      <patternFill patternType="solid">
        <fgColor rgb="FFE6F4EA"/>
        <bgColor rgb="FFE6F4E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top" wrapText="1"/>
    </xf>
    <xf borderId="4" fillId="3" fontId="4" numFmtId="0" xfId="0" applyAlignment="1" applyBorder="1" applyFont="1">
      <alignment horizontal="center" readingOrder="0" shrinkToFit="0" vertical="top" wrapText="1"/>
    </xf>
    <xf borderId="4" fillId="4" fontId="5" numFmtId="0" xfId="0" applyAlignment="1" applyBorder="1" applyFill="1" applyFont="1">
      <alignment horizontal="left" shrinkToFit="0" vertical="top" wrapText="1"/>
    </xf>
    <xf borderId="4" fillId="4" fontId="6" numFmtId="164" xfId="0" applyAlignment="1" applyBorder="1" applyFont="1" applyNumberFormat="1">
      <alignment horizontal="center" shrinkToFit="0" vertical="top" wrapText="1"/>
    </xf>
    <xf borderId="4" fillId="4" fontId="7" numFmtId="164" xfId="0" applyAlignment="1" applyBorder="1" applyFont="1" applyNumberFormat="1">
      <alignment horizontal="center" shrinkToFit="0" vertical="top" wrapText="1"/>
    </xf>
    <xf borderId="4" fillId="5" fontId="8" numFmtId="0" xfId="0" applyAlignment="1" applyBorder="1" applyFill="1" applyFont="1">
      <alignment horizontal="center" shrinkToFit="0" vertical="top" wrapText="1"/>
    </xf>
    <xf borderId="4" fillId="6" fontId="5" numFmtId="0" xfId="0" applyAlignment="1" applyBorder="1" applyFill="1" applyFont="1">
      <alignment horizontal="left" shrinkToFit="0" vertical="top" wrapText="1"/>
    </xf>
    <xf borderId="4" fillId="6" fontId="6" numFmtId="164" xfId="0" applyAlignment="1" applyBorder="1" applyFont="1" applyNumberFormat="1">
      <alignment horizontal="center" shrinkToFit="0" vertical="top" wrapText="1"/>
    </xf>
    <xf borderId="4" fillId="6" fontId="7" numFmtId="164" xfId="0" applyAlignment="1" applyBorder="1" applyFont="1" applyNumberFormat="1">
      <alignment horizontal="center" shrinkToFit="0" vertical="top" wrapText="1"/>
    </xf>
    <xf borderId="4" fillId="7" fontId="9" numFmtId="0" xfId="0" applyAlignment="1" applyBorder="1" applyFill="1" applyFont="1">
      <alignment horizontal="center" shrinkToFit="0" vertical="top" wrapText="1"/>
    </xf>
    <xf borderId="4" fillId="8" fontId="10" numFmtId="0" xfId="0" applyAlignment="1" applyBorder="1" applyFill="1" applyFont="1">
      <alignment horizontal="center" shrinkToFit="0" vertical="top" wrapText="1"/>
    </xf>
    <xf borderId="5" fillId="2" fontId="4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vertical="center"/>
    </xf>
    <xf borderId="4" fillId="2" fontId="4" numFmtId="164" xfId="0" applyAlignment="1" applyBorder="1" applyFont="1" applyNumberFormat="1">
      <alignment horizontal="center" shrinkToFit="0" vertical="top" wrapText="1"/>
    </xf>
    <xf borderId="5" fillId="3" fontId="4" numFmtId="0" xfId="0" applyAlignment="1" applyBorder="1" applyFont="1">
      <alignment horizontal="left" vertical="center"/>
    </xf>
    <xf borderId="7" fillId="0" fontId="2" numFmtId="0" xfId="0" applyAlignment="1" applyBorder="1" applyFont="1">
      <alignment vertical="center"/>
    </xf>
    <xf borderId="4" fillId="5" fontId="8" numFmtId="0" xfId="0" applyAlignment="1" applyBorder="1" applyFont="1">
      <alignment horizontal="left" shrinkToFit="0" vertical="top" wrapText="1"/>
    </xf>
    <xf borderId="5" fillId="4" fontId="5" numFmtId="0" xfId="0" applyAlignment="1" applyBorder="1" applyFont="1">
      <alignment horizontal="left" shrinkToFit="0" vertical="top" wrapText="1"/>
    </xf>
    <xf borderId="4" fillId="7" fontId="9" numFmtId="0" xfId="0" applyAlignment="1" applyBorder="1" applyFont="1">
      <alignment horizontal="left" shrinkToFit="0" vertical="top" wrapText="1"/>
    </xf>
    <xf borderId="4" fillId="8" fontId="10" numFmtId="0" xfId="0" applyAlignment="1" applyBorder="1" applyFont="1">
      <alignment horizontal="left" shrinkToFit="0" vertical="top" wrapText="1"/>
    </xf>
    <xf borderId="4" fillId="4" fontId="11" numFmtId="0" xfId="0" applyAlignment="1" applyBorder="1" applyFont="1">
      <alignment horizontal="left" shrinkToFit="0" vertical="top" wrapText="1"/>
    </xf>
    <xf borderId="1" fillId="2" fontId="12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left" shrinkToFit="0" vertical="top" wrapText="1"/>
    </xf>
    <xf borderId="4" fillId="8" fontId="14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6.0"/>
    <col customWidth="1" min="3" max="7" width="18.0"/>
    <col customWidth="1" min="8" max="8" width="20.0"/>
    <col customWidth="1" min="9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3"/>
    </row>
    <row r="3" ht="36.0" customHeight="1">
      <c r="A3" s="5" t="s">
        <v>2</v>
      </c>
      <c r="B3" s="6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21.75" customHeight="1">
      <c r="A4" s="7" t="s">
        <v>10</v>
      </c>
      <c r="B4" s="7" t="s">
        <v>11</v>
      </c>
      <c r="C4" s="8">
        <v>131.3</v>
      </c>
      <c r="D4" s="8">
        <v>141.0</v>
      </c>
      <c r="E4" s="8">
        <v>161.5</v>
      </c>
      <c r="F4" s="8">
        <v>161.5</v>
      </c>
      <c r="G4" s="9">
        <f t="shared" ref="G4:G9" si="1">SUM(C4:F4)</f>
        <v>595.3</v>
      </c>
      <c r="H4" s="10" t="s">
        <v>12</v>
      </c>
    </row>
    <row r="5" ht="27.75" customHeight="1">
      <c r="A5" s="11" t="s">
        <v>13</v>
      </c>
      <c r="B5" s="11" t="s">
        <v>14</v>
      </c>
      <c r="C5" s="12">
        <v>165.7</v>
      </c>
      <c r="D5" s="12">
        <v>181.0</v>
      </c>
      <c r="E5" s="12">
        <v>206.6</v>
      </c>
      <c r="F5" s="12">
        <v>206.6</v>
      </c>
      <c r="G5" s="13">
        <f t="shared" si="1"/>
        <v>759.9</v>
      </c>
      <c r="H5" s="14" t="s">
        <v>15</v>
      </c>
    </row>
    <row r="6" ht="34.5" customHeight="1">
      <c r="A6" s="7" t="s">
        <v>16</v>
      </c>
      <c r="B6" s="7" t="s">
        <v>17</v>
      </c>
      <c r="C6" s="8">
        <v>151.9</v>
      </c>
      <c r="D6" s="8">
        <v>168.0</v>
      </c>
      <c r="E6" s="8">
        <v>188.4</v>
      </c>
      <c r="F6" s="8">
        <v>188.4</v>
      </c>
      <c r="G6" s="9">
        <f t="shared" si="1"/>
        <v>696.7</v>
      </c>
      <c r="H6" s="14" t="s">
        <v>15</v>
      </c>
    </row>
    <row r="7" ht="29.25" customHeight="1">
      <c r="A7" s="11" t="s">
        <v>18</v>
      </c>
      <c r="B7" s="11" t="s">
        <v>19</v>
      </c>
      <c r="C7" s="12">
        <v>138.2</v>
      </c>
      <c r="D7" s="12">
        <v>152.0</v>
      </c>
      <c r="E7" s="12">
        <v>170.5</v>
      </c>
      <c r="F7" s="12">
        <v>170.5</v>
      </c>
      <c r="G7" s="13">
        <f t="shared" si="1"/>
        <v>631.2</v>
      </c>
      <c r="H7" s="14" t="s">
        <v>15</v>
      </c>
    </row>
    <row r="8" ht="21.75" customHeight="1">
      <c r="A8" s="7" t="s">
        <v>20</v>
      </c>
      <c r="B8" s="7" t="s">
        <v>21</v>
      </c>
      <c r="C8" s="8">
        <v>138.2</v>
      </c>
      <c r="D8" s="8">
        <v>152.0</v>
      </c>
      <c r="E8" s="8">
        <v>170.5</v>
      </c>
      <c r="F8" s="8">
        <v>170.5</v>
      </c>
      <c r="G8" s="9">
        <f t="shared" si="1"/>
        <v>631.2</v>
      </c>
      <c r="H8" s="15" t="s">
        <v>22</v>
      </c>
    </row>
    <row r="9" ht="48.75" customHeight="1">
      <c r="A9" s="11" t="s">
        <v>23</v>
      </c>
      <c r="B9" s="11" t="s">
        <v>24</v>
      </c>
      <c r="C9" s="12">
        <v>145.0</v>
      </c>
      <c r="D9" s="12">
        <v>160.0</v>
      </c>
      <c r="E9" s="12">
        <v>179.4</v>
      </c>
      <c r="F9" s="12">
        <v>179.4</v>
      </c>
      <c r="G9" s="13">
        <f t="shared" si="1"/>
        <v>663.8</v>
      </c>
      <c r="H9" s="14" t="s">
        <v>15</v>
      </c>
    </row>
    <row r="10" ht="21.75" customHeight="1">
      <c r="A10" s="16" t="s">
        <v>25</v>
      </c>
      <c r="B10" s="17"/>
      <c r="C10" s="18">
        <f t="shared" ref="C10:H10" si="2">SUM(C4:C9)</f>
        <v>870.3</v>
      </c>
      <c r="D10" s="18">
        <f t="shared" si="2"/>
        <v>954</v>
      </c>
      <c r="E10" s="18">
        <f t="shared" si="2"/>
        <v>1076.9</v>
      </c>
      <c r="F10" s="18">
        <f t="shared" si="2"/>
        <v>1076.9</v>
      </c>
      <c r="G10" s="18">
        <f t="shared" si="2"/>
        <v>3978.1</v>
      </c>
      <c r="H10" s="18">
        <f t="shared" si="2"/>
        <v>0</v>
      </c>
    </row>
    <row r="12" ht="19.5" customHeight="1">
      <c r="A12" s="19" t="s">
        <v>26</v>
      </c>
      <c r="B12" s="20"/>
      <c r="C12" s="20"/>
      <c r="D12" s="20"/>
      <c r="E12" s="20"/>
      <c r="F12" s="20"/>
      <c r="G12" s="20"/>
      <c r="H12" s="17"/>
    </row>
    <row r="13" ht="18.0" customHeight="1">
      <c r="A13" s="21" t="s">
        <v>12</v>
      </c>
      <c r="B13" s="22" t="s">
        <v>27</v>
      </c>
      <c r="C13" s="20"/>
      <c r="D13" s="20"/>
      <c r="E13" s="20"/>
      <c r="F13" s="20"/>
      <c r="G13" s="20"/>
      <c r="H13" s="17"/>
    </row>
    <row r="14" ht="18.0" customHeight="1">
      <c r="A14" s="23" t="s">
        <v>15</v>
      </c>
      <c r="B14" s="22" t="s">
        <v>28</v>
      </c>
      <c r="C14" s="20"/>
      <c r="D14" s="20"/>
      <c r="E14" s="20"/>
      <c r="F14" s="20"/>
      <c r="G14" s="20"/>
      <c r="H14" s="17"/>
    </row>
    <row r="15" ht="18.0" customHeight="1">
      <c r="A15" s="24" t="s">
        <v>22</v>
      </c>
      <c r="B15" s="22" t="s">
        <v>29</v>
      </c>
      <c r="C15" s="20"/>
      <c r="D15" s="20"/>
      <c r="E15" s="20"/>
      <c r="F15" s="20"/>
      <c r="G15" s="20"/>
      <c r="H15" s="17"/>
    </row>
    <row r="16" ht="18.0" customHeight="1">
      <c r="A16" s="25" t="s">
        <v>30</v>
      </c>
      <c r="B16" s="22" t="s">
        <v>31</v>
      </c>
      <c r="C16" s="20"/>
      <c r="D16" s="20"/>
      <c r="E16" s="20"/>
      <c r="F16" s="20"/>
      <c r="G16" s="20"/>
      <c r="H16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10:B10"/>
    <mergeCell ref="A12:H12"/>
    <mergeCell ref="B13:H13"/>
    <mergeCell ref="B14:H14"/>
    <mergeCell ref="B15:H15"/>
    <mergeCell ref="B16:H16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4.0"/>
    <col customWidth="1" min="3" max="4" width="14.0"/>
    <col customWidth="1" min="5" max="6" width="48.0"/>
    <col customWidth="1" min="7" max="26" width="8.71"/>
  </cols>
  <sheetData>
    <row r="1" ht="30.0" customHeight="1">
      <c r="A1" s="26" t="s">
        <v>32</v>
      </c>
      <c r="B1" s="2"/>
      <c r="C1" s="2"/>
      <c r="D1" s="2"/>
      <c r="E1" s="2"/>
      <c r="F1" s="3"/>
    </row>
    <row r="2" ht="15.75" customHeight="1">
      <c r="A2" s="27" t="s">
        <v>33</v>
      </c>
      <c r="B2" s="2"/>
      <c r="C2" s="2"/>
      <c r="D2" s="2"/>
      <c r="E2" s="2"/>
      <c r="F2" s="3"/>
    </row>
    <row r="3" ht="42.0" customHeight="1">
      <c r="A3" s="5" t="s">
        <v>2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</row>
    <row r="4" ht="129.75" customHeight="1">
      <c r="A4" s="7" t="s">
        <v>10</v>
      </c>
      <c r="B4" s="7" t="s">
        <v>11</v>
      </c>
      <c r="C4" s="7" t="s">
        <v>39</v>
      </c>
      <c r="D4" s="23" t="s">
        <v>40</v>
      </c>
      <c r="E4" s="28" t="s">
        <v>41</v>
      </c>
      <c r="F4" s="29" t="s">
        <v>42</v>
      </c>
    </row>
    <row r="5" ht="129.75" customHeight="1">
      <c r="A5" s="11" t="s">
        <v>13</v>
      </c>
      <c r="B5" s="11" t="s">
        <v>14</v>
      </c>
      <c r="C5" s="11" t="s">
        <v>43</v>
      </c>
      <c r="D5" s="23" t="s">
        <v>44</v>
      </c>
      <c r="E5" s="28" t="s">
        <v>45</v>
      </c>
      <c r="F5" s="29" t="s">
        <v>46</v>
      </c>
    </row>
    <row r="6" ht="129.75" customHeight="1">
      <c r="A6" s="7" t="s">
        <v>16</v>
      </c>
      <c r="B6" s="7" t="s">
        <v>17</v>
      </c>
      <c r="C6" s="7" t="s">
        <v>43</v>
      </c>
      <c r="D6" s="23" t="s">
        <v>47</v>
      </c>
      <c r="E6" s="28" t="s">
        <v>48</v>
      </c>
      <c r="F6" s="29" t="s">
        <v>49</v>
      </c>
    </row>
    <row r="7" ht="129.75" customHeight="1">
      <c r="A7" s="11" t="s">
        <v>18</v>
      </c>
      <c r="B7" s="11" t="s">
        <v>19</v>
      </c>
      <c r="C7" s="11" t="s">
        <v>43</v>
      </c>
      <c r="D7" s="23" t="s">
        <v>50</v>
      </c>
      <c r="E7" s="28" t="s">
        <v>51</v>
      </c>
      <c r="F7" s="29" t="s">
        <v>52</v>
      </c>
    </row>
    <row r="8" ht="129.75" customHeight="1">
      <c r="A8" s="7" t="s">
        <v>20</v>
      </c>
      <c r="B8" s="7" t="s">
        <v>21</v>
      </c>
      <c r="C8" s="7" t="s">
        <v>39</v>
      </c>
      <c r="D8" s="23" t="s">
        <v>53</v>
      </c>
      <c r="E8" s="28" t="s">
        <v>54</v>
      </c>
      <c r="F8" s="29" t="s">
        <v>55</v>
      </c>
    </row>
    <row r="9" ht="129.75" customHeight="1">
      <c r="A9" s="11" t="s">
        <v>23</v>
      </c>
      <c r="B9" s="11" t="s">
        <v>24</v>
      </c>
      <c r="C9" s="11" t="s">
        <v>43</v>
      </c>
      <c r="D9" s="23" t="s">
        <v>56</v>
      </c>
      <c r="E9" s="28" t="s">
        <v>57</v>
      </c>
      <c r="F9" s="29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6" width="18.0"/>
    <col customWidth="1" min="7" max="7" width="28.29"/>
    <col customWidth="1" min="8" max="26" width="8.71"/>
  </cols>
  <sheetData>
    <row r="1" ht="30.0" customHeight="1">
      <c r="A1" s="26" t="s">
        <v>59</v>
      </c>
      <c r="B1" s="2"/>
      <c r="C1" s="2"/>
      <c r="D1" s="2"/>
      <c r="E1" s="2"/>
      <c r="F1" s="2"/>
      <c r="G1" s="3"/>
    </row>
    <row r="2" ht="30.0" customHeight="1">
      <c r="A2" s="5" t="s">
        <v>2</v>
      </c>
      <c r="B2" s="5" t="s">
        <v>34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</row>
    <row r="3" ht="21.75" customHeight="1">
      <c r="A3" s="7" t="s">
        <v>10</v>
      </c>
      <c r="B3" s="7" t="s">
        <v>65</v>
      </c>
      <c r="C3" s="8">
        <v>131.3</v>
      </c>
      <c r="D3" s="8">
        <v>141.0</v>
      </c>
      <c r="E3" s="8">
        <v>161.5</v>
      </c>
      <c r="F3" s="8">
        <v>161.5</v>
      </c>
    </row>
    <row r="4" ht="21.75" customHeight="1">
      <c r="A4" s="11" t="s">
        <v>13</v>
      </c>
      <c r="B4" s="11" t="s">
        <v>66</v>
      </c>
      <c r="C4" s="12">
        <v>165.7</v>
      </c>
      <c r="D4" s="12">
        <v>181.0</v>
      </c>
      <c r="E4" s="12">
        <v>206.6</v>
      </c>
      <c r="F4" s="12">
        <v>206.6</v>
      </c>
    </row>
    <row r="5" ht="21.75" customHeight="1">
      <c r="A5" s="7" t="s">
        <v>16</v>
      </c>
      <c r="B5" s="7" t="s">
        <v>67</v>
      </c>
      <c r="C5" s="8">
        <v>151.9</v>
      </c>
      <c r="D5" s="8">
        <v>168.0</v>
      </c>
      <c r="E5" s="8">
        <v>188.4</v>
      </c>
      <c r="F5" s="8">
        <v>188.4</v>
      </c>
    </row>
    <row r="6" ht="21.75" customHeight="1">
      <c r="A6" s="11" t="s">
        <v>18</v>
      </c>
      <c r="B6" s="11" t="s">
        <v>68</v>
      </c>
      <c r="C6" s="12">
        <v>138.2</v>
      </c>
      <c r="D6" s="12">
        <v>152.0</v>
      </c>
      <c r="E6" s="12">
        <v>170.5</v>
      </c>
      <c r="F6" s="12">
        <v>170.5</v>
      </c>
    </row>
    <row r="7" ht="21.75" customHeight="1">
      <c r="A7" s="7" t="s">
        <v>20</v>
      </c>
      <c r="B7" s="7" t="s">
        <v>69</v>
      </c>
      <c r="C7" s="8">
        <v>138.2</v>
      </c>
      <c r="D7" s="8">
        <v>152.0</v>
      </c>
      <c r="E7" s="8">
        <v>170.5</v>
      </c>
      <c r="F7" s="8">
        <v>170.5</v>
      </c>
    </row>
    <row r="8" ht="21.75" customHeight="1">
      <c r="A8" s="11" t="s">
        <v>23</v>
      </c>
      <c r="B8" s="11" t="s">
        <v>70</v>
      </c>
      <c r="C8" s="12">
        <v>145.0</v>
      </c>
      <c r="D8" s="12">
        <v>160.0</v>
      </c>
      <c r="E8" s="12">
        <v>179.4</v>
      </c>
      <c r="F8" s="12">
        <v>179.4</v>
      </c>
    </row>
    <row r="9" ht="21.75" customHeight="1">
      <c r="A9" s="16" t="s">
        <v>71</v>
      </c>
      <c r="B9" s="17"/>
      <c r="C9" s="18">
        <f t="shared" ref="C9:G9" si="1">SUM(C3:C8)</f>
        <v>870.3</v>
      </c>
      <c r="D9" s="18">
        <f t="shared" si="1"/>
        <v>954</v>
      </c>
      <c r="E9" s="18">
        <f t="shared" si="1"/>
        <v>1076.9</v>
      </c>
      <c r="F9" s="18">
        <f t="shared" si="1"/>
        <v>1076.9</v>
      </c>
      <c r="G9" s="18">
        <f t="shared" si="1"/>
        <v>0</v>
      </c>
    </row>
    <row r="11" ht="39.75" customHeight="1">
      <c r="A11" s="30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9:B9"/>
    <mergeCell ref="A11:G11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2026-03-25T03:15:11Z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fd82de7ecf744adb8e726b0851932962</vt:lpwstr>
  </property>
</Properties>
</file>